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SS_NT551XED\Desktop\★★할인율_금리충격\2. 할인율산출\할인율 산출(2025)\011. 2510\02. 공시\FSS_IFRS17 및 K-ICS 금리기간구조(원화)_'25.1월~10월\"/>
    </mc:Choice>
  </mc:AlternateContent>
  <xr:revisionPtr revIDLastSave="0" documentId="13_ncr:1_{873F2453-8614-4C2B-98D5-908EE4F201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원화 무위험 금리기간구조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3" l="1"/>
  <c r="X7" i="3" l="1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U9" i="3"/>
  <c r="X9" i="3"/>
  <c r="F8" i="3" a="1"/>
  <c r="Q13" i="3" a="1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Q85" i="3"/>
  <c r="Q149" i="3"/>
  <c r="Q213" i="3"/>
  <c r="Q277" i="3"/>
  <c r="Q341" i="3"/>
  <c r="Q405" i="3"/>
  <c r="Q469" i="3"/>
  <c r="Q533" i="3"/>
  <c r="Q597" i="3"/>
  <c r="Q661" i="3"/>
  <c r="Q46" i="3"/>
  <c r="Q110" i="3"/>
  <c r="Q174" i="3"/>
  <c r="Q238" i="3"/>
  <c r="Q302" i="3"/>
  <c r="Q366" i="3"/>
  <c r="Q430" i="3"/>
  <c r="Q494" i="3"/>
  <c r="Q558" i="3"/>
  <c r="Q622" i="3"/>
  <c r="Q686" i="3"/>
  <c r="Q71" i="3"/>
  <c r="Q135" i="3"/>
  <c r="Q199" i="3"/>
  <c r="Q263" i="3"/>
  <c r="Q327" i="3"/>
  <c r="Q391" i="3"/>
  <c r="Q455" i="3"/>
  <c r="Q519" i="3"/>
  <c r="Q583" i="3"/>
  <c r="Q647" i="3"/>
  <c r="Q33" i="3"/>
  <c r="Q97" i="3"/>
  <c r="Q161" i="3"/>
  <c r="Q225" i="3"/>
  <c r="Q289" i="3"/>
  <c r="Q353" i="3"/>
  <c r="Q417" i="3"/>
  <c r="Q481" i="3"/>
  <c r="Q545" i="3"/>
  <c r="Q609" i="3"/>
  <c r="Q18" i="3"/>
  <c r="Q82" i="3"/>
  <c r="Q146" i="3"/>
  <c r="Q210" i="3"/>
  <c r="Q274" i="3"/>
  <c r="Q338" i="3"/>
  <c r="Q402" i="3"/>
  <c r="Q466" i="3"/>
  <c r="Q530" i="3"/>
  <c r="Q594" i="3"/>
  <c r="Q658" i="3"/>
  <c r="Q99" i="3"/>
  <c r="Q268" i="3"/>
  <c r="Q440" i="3"/>
  <c r="Q611" i="3"/>
  <c r="Q722" i="3"/>
  <c r="Q786" i="3"/>
  <c r="Q850" i="3"/>
  <c r="Q914" i="3"/>
  <c r="Q978" i="3"/>
  <c r="Q1042" i="3"/>
  <c r="Q144" i="3"/>
  <c r="Q315" i="3"/>
  <c r="Q484" i="3"/>
  <c r="Q656" i="3"/>
  <c r="Q739" i="3"/>
  <c r="Q803" i="3"/>
  <c r="Q867" i="3"/>
  <c r="Q931" i="3"/>
  <c r="Q995" i="3"/>
  <c r="Q1059" i="3"/>
  <c r="Q1123" i="3"/>
  <c r="Q1187" i="3"/>
  <c r="Q1012" i="3"/>
  <c r="Q1108" i="3"/>
  <c r="Q168" i="3"/>
  <c r="Q339" i="3"/>
  <c r="Q508" i="3"/>
  <c r="Q676" i="3"/>
  <c r="Q29" i="3"/>
  <c r="Q93" i="3"/>
  <c r="Q157" i="3"/>
  <c r="Q221" i="3"/>
  <c r="Q285" i="3"/>
  <c r="Q349" i="3"/>
  <c r="Q413" i="3"/>
  <c r="Q477" i="3"/>
  <c r="Q541" i="3"/>
  <c r="Q605" i="3"/>
  <c r="Q669" i="3"/>
  <c r="Q54" i="3"/>
  <c r="Q118" i="3"/>
  <c r="Q182" i="3"/>
  <c r="Q246" i="3"/>
  <c r="Q310" i="3"/>
  <c r="Q374" i="3"/>
  <c r="Q438" i="3"/>
  <c r="Q502" i="3"/>
  <c r="Q566" i="3"/>
  <c r="Q630" i="3"/>
  <c r="Q15" i="3"/>
  <c r="Q79" i="3"/>
  <c r="Q143" i="3"/>
  <c r="Q207" i="3"/>
  <c r="Q271" i="3"/>
  <c r="Q335" i="3"/>
  <c r="Q399" i="3"/>
  <c r="Q463" i="3"/>
  <c r="Q527" i="3"/>
  <c r="Q591" i="3"/>
  <c r="Q655" i="3"/>
  <c r="Q41" i="3"/>
  <c r="Q105" i="3"/>
  <c r="Q169" i="3"/>
  <c r="Q233" i="3"/>
  <c r="Q297" i="3"/>
  <c r="Q361" i="3"/>
  <c r="Q425" i="3"/>
  <c r="Q489" i="3"/>
  <c r="Q553" i="3"/>
  <c r="Q617" i="3"/>
  <c r="Q26" i="3"/>
  <c r="Q90" i="3"/>
  <c r="Q154" i="3"/>
  <c r="Q218" i="3"/>
  <c r="Q282" i="3"/>
  <c r="Q346" i="3"/>
  <c r="Q410" i="3"/>
  <c r="Q474" i="3"/>
  <c r="Q538" i="3"/>
  <c r="Q602" i="3"/>
  <c r="Q666" i="3"/>
  <c r="Q120" i="3"/>
  <c r="Q291" i="3"/>
  <c r="Q460" i="3"/>
  <c r="Q632" i="3"/>
  <c r="Q730" i="3"/>
  <c r="Q794" i="3"/>
  <c r="Q858" i="3"/>
  <c r="Q922" i="3"/>
  <c r="Q986" i="3"/>
  <c r="Q1050" i="3"/>
  <c r="Q164" i="3"/>
  <c r="Q336" i="3"/>
  <c r="Q507" i="3"/>
  <c r="Q675" i="3"/>
  <c r="Q747" i="3"/>
  <c r="Q811" i="3"/>
  <c r="Q875" i="3"/>
  <c r="Q939" i="3"/>
  <c r="Q1003" i="3"/>
  <c r="Q1067" i="3"/>
  <c r="Q1131" i="3"/>
  <c r="Q1195" i="3"/>
  <c r="Q1028" i="3"/>
  <c r="Q19" i="3"/>
  <c r="Q188" i="3"/>
  <c r="Q360" i="3"/>
  <c r="Q531" i="3"/>
  <c r="Q692" i="3"/>
  <c r="Q756" i="3"/>
  <c r="Q820" i="3"/>
  <c r="Q884" i="3"/>
  <c r="Q956" i="3"/>
  <c r="Q37" i="3"/>
  <c r="Q101" i="3"/>
  <c r="Q165" i="3"/>
  <c r="Q229" i="3"/>
  <c r="Q293" i="3"/>
  <c r="Q357" i="3"/>
  <c r="Q421" i="3"/>
  <c r="Q485" i="3"/>
  <c r="Q549" i="3"/>
  <c r="Q613" i="3"/>
  <c r="Q677" i="3"/>
  <c r="Q62" i="3"/>
  <c r="Q126" i="3"/>
  <c r="Q190" i="3"/>
  <c r="Q254" i="3"/>
  <c r="Q318" i="3"/>
  <c r="Q382" i="3"/>
  <c r="Q446" i="3"/>
  <c r="Q510" i="3"/>
  <c r="Q574" i="3"/>
  <c r="Q638" i="3"/>
  <c r="Q23" i="3"/>
  <c r="Q87" i="3"/>
  <c r="Q151" i="3"/>
  <c r="Q215" i="3"/>
  <c r="Q279" i="3"/>
  <c r="Q343" i="3"/>
  <c r="Q407" i="3"/>
  <c r="Q471" i="3"/>
  <c r="Q535" i="3"/>
  <c r="Q599" i="3"/>
  <c r="Q663" i="3"/>
  <c r="Q49" i="3"/>
  <c r="Q113" i="3"/>
  <c r="Q177" i="3"/>
  <c r="Q241" i="3"/>
  <c r="Q305" i="3"/>
  <c r="Q369" i="3"/>
  <c r="Q433" i="3"/>
  <c r="Q497" i="3"/>
  <c r="Q561" i="3"/>
  <c r="Q625" i="3"/>
  <c r="Q34" i="3"/>
  <c r="Q98" i="3"/>
  <c r="Q162" i="3"/>
  <c r="Q226" i="3"/>
  <c r="Q290" i="3"/>
  <c r="Q354" i="3"/>
  <c r="Q418" i="3"/>
  <c r="Q482" i="3"/>
  <c r="Q546" i="3"/>
  <c r="Q610" i="3"/>
  <c r="Q674" i="3"/>
  <c r="Q140" i="3"/>
  <c r="Q312" i="3"/>
  <c r="Q483" i="3"/>
  <c r="Q652" i="3"/>
  <c r="Q738" i="3"/>
  <c r="Q802" i="3"/>
  <c r="Q866" i="3"/>
  <c r="Q930" i="3"/>
  <c r="Q994" i="3"/>
  <c r="Q16" i="3"/>
  <c r="Q187" i="3"/>
  <c r="Q356" i="3"/>
  <c r="Q528" i="3"/>
  <c r="Q691" i="3"/>
  <c r="Q755" i="3"/>
  <c r="Q819" i="3"/>
  <c r="Q883" i="3"/>
  <c r="Q947" i="3"/>
  <c r="Q1011" i="3"/>
  <c r="Q1075" i="3"/>
  <c r="Q1139" i="3"/>
  <c r="Q1203" i="3"/>
  <c r="Q1036" i="3"/>
  <c r="Q40" i="3"/>
  <c r="Q211" i="3"/>
  <c r="Q380" i="3"/>
  <c r="Q552" i="3"/>
  <c r="Q700" i="3"/>
  <c r="Q764" i="3"/>
  <c r="Q828" i="3"/>
  <c r="Q45" i="3"/>
  <c r="Q109" i="3"/>
  <c r="Q173" i="3"/>
  <c r="Q237" i="3"/>
  <c r="Q301" i="3"/>
  <c r="Q365" i="3"/>
  <c r="Q429" i="3"/>
  <c r="Q493" i="3"/>
  <c r="Q557" i="3"/>
  <c r="Q621" i="3"/>
  <c r="Q685" i="3"/>
  <c r="Q70" i="3"/>
  <c r="Q134" i="3"/>
  <c r="Q198" i="3"/>
  <c r="Q262" i="3"/>
  <c r="Q326" i="3"/>
  <c r="Q390" i="3"/>
  <c r="Q454" i="3"/>
  <c r="Q518" i="3"/>
  <c r="Q582" i="3"/>
  <c r="Q646" i="3"/>
  <c r="Q31" i="3"/>
  <c r="Q95" i="3"/>
  <c r="Q159" i="3"/>
  <c r="Q223" i="3"/>
  <c r="Q287" i="3"/>
  <c r="Q351" i="3"/>
  <c r="Q415" i="3"/>
  <c r="Q479" i="3"/>
  <c r="Q543" i="3"/>
  <c r="Q607" i="3"/>
  <c r="Q671" i="3"/>
  <c r="Q57" i="3"/>
  <c r="Q121" i="3"/>
  <c r="Q185" i="3"/>
  <c r="Q249" i="3"/>
  <c r="Q313" i="3"/>
  <c r="Q377" i="3"/>
  <c r="Q441" i="3"/>
  <c r="Q505" i="3"/>
  <c r="Q569" i="3"/>
  <c r="Q633" i="3"/>
  <c r="Q42" i="3"/>
  <c r="Q106" i="3"/>
  <c r="Q170" i="3"/>
  <c r="Q234" i="3"/>
  <c r="Q298" i="3"/>
  <c r="Q362" i="3"/>
  <c r="Q426" i="3"/>
  <c r="Q490" i="3"/>
  <c r="Q554" i="3"/>
  <c r="Q618" i="3"/>
  <c r="Q682" i="3"/>
  <c r="Q163" i="3"/>
  <c r="Q332" i="3"/>
  <c r="Q504" i="3"/>
  <c r="Q673" i="3"/>
  <c r="Q746" i="3"/>
  <c r="Q810" i="3"/>
  <c r="Q874" i="3"/>
  <c r="Q938" i="3"/>
  <c r="Q1002" i="3"/>
  <c r="Q36" i="3"/>
  <c r="Q208" i="3"/>
  <c r="Q379" i="3"/>
  <c r="Q548" i="3"/>
  <c r="Q699" i="3"/>
  <c r="Q763" i="3"/>
  <c r="Q827" i="3"/>
  <c r="Q891" i="3"/>
  <c r="Q955" i="3"/>
  <c r="Q1019" i="3"/>
  <c r="Q1083" i="3"/>
  <c r="Q1147" i="3"/>
  <c r="Q1211" i="3"/>
  <c r="Q1052" i="3"/>
  <c r="Q60" i="3"/>
  <c r="Q232" i="3"/>
  <c r="Q403" i="3"/>
  <c r="Q572" i="3"/>
  <c r="Q708" i="3"/>
  <c r="Q772" i="3"/>
  <c r="Q836" i="3"/>
  <c r="Q900" i="3"/>
  <c r="Q980" i="3"/>
  <c r="Q53" i="3"/>
  <c r="Q117" i="3"/>
  <c r="Q181" i="3"/>
  <c r="Q245" i="3"/>
  <c r="Q309" i="3"/>
  <c r="Q373" i="3"/>
  <c r="Q437" i="3"/>
  <c r="Q501" i="3"/>
  <c r="Q565" i="3"/>
  <c r="Q629" i="3"/>
  <c r="Q14" i="3"/>
  <c r="R13" i="3" s="1"/>
  <c r="Q78" i="3"/>
  <c r="Q142" i="3"/>
  <c r="Q206" i="3"/>
  <c r="Q270" i="3"/>
  <c r="Q334" i="3"/>
  <c r="Q398" i="3"/>
  <c r="Q462" i="3"/>
  <c r="Q526" i="3"/>
  <c r="Q590" i="3"/>
  <c r="Q654" i="3"/>
  <c r="Q39" i="3"/>
  <c r="Q103" i="3"/>
  <c r="Q167" i="3"/>
  <c r="Q231" i="3"/>
  <c r="Q295" i="3"/>
  <c r="Q359" i="3"/>
  <c r="Q423" i="3"/>
  <c r="Q487" i="3"/>
  <c r="Q551" i="3"/>
  <c r="Q615" i="3"/>
  <c r="Q679" i="3"/>
  <c r="Q65" i="3"/>
  <c r="Q129" i="3"/>
  <c r="Q193" i="3"/>
  <c r="Q257" i="3"/>
  <c r="Q321" i="3"/>
  <c r="Q385" i="3"/>
  <c r="Q449" i="3"/>
  <c r="Q513" i="3"/>
  <c r="Q577" i="3"/>
  <c r="Q641" i="3"/>
  <c r="Q50" i="3"/>
  <c r="Q114" i="3"/>
  <c r="Q178" i="3"/>
  <c r="Q242" i="3"/>
  <c r="Q306" i="3"/>
  <c r="Q370" i="3"/>
  <c r="Q434" i="3"/>
  <c r="Q498" i="3"/>
  <c r="Q562" i="3"/>
  <c r="Q626" i="3"/>
  <c r="Q690" i="3"/>
  <c r="Q184" i="3"/>
  <c r="Q355" i="3"/>
  <c r="Q524" i="3"/>
  <c r="Q689" i="3"/>
  <c r="Q754" i="3"/>
  <c r="Q818" i="3"/>
  <c r="Q882" i="3"/>
  <c r="Q946" i="3"/>
  <c r="Q1010" i="3"/>
  <c r="Q59" i="3"/>
  <c r="Q228" i="3"/>
  <c r="Q400" i="3"/>
  <c r="Q571" i="3"/>
  <c r="Q707" i="3"/>
  <c r="Q771" i="3"/>
  <c r="Q835" i="3"/>
  <c r="Q899" i="3"/>
  <c r="Q963" i="3"/>
  <c r="Q1027" i="3"/>
  <c r="Q1091" i="3"/>
  <c r="Q1155" i="3"/>
  <c r="Q916" i="3"/>
  <c r="Q1060" i="3"/>
  <c r="Q83" i="3"/>
  <c r="Q252" i="3"/>
  <c r="Q424" i="3"/>
  <c r="Q595" i="3"/>
  <c r="Q716" i="3"/>
  <c r="Q780" i="3"/>
  <c r="Q844" i="3"/>
  <c r="Q908" i="3"/>
  <c r="Q996" i="3"/>
  <c r="Q61" i="3"/>
  <c r="Q125" i="3"/>
  <c r="Q189" i="3"/>
  <c r="Q253" i="3"/>
  <c r="Q317" i="3"/>
  <c r="Q381" i="3"/>
  <c r="Q445" i="3"/>
  <c r="Q509" i="3"/>
  <c r="Q573" i="3"/>
  <c r="Q637" i="3"/>
  <c r="Q22" i="3"/>
  <c r="Q86" i="3"/>
  <c r="Q150" i="3"/>
  <c r="Q214" i="3"/>
  <c r="Q278" i="3"/>
  <c r="Q342" i="3"/>
  <c r="Q406" i="3"/>
  <c r="Q470" i="3"/>
  <c r="Q534" i="3"/>
  <c r="Q598" i="3"/>
  <c r="Q662" i="3"/>
  <c r="Q47" i="3"/>
  <c r="Q111" i="3"/>
  <c r="Q175" i="3"/>
  <c r="Q239" i="3"/>
  <c r="Q303" i="3"/>
  <c r="Q367" i="3"/>
  <c r="Q431" i="3"/>
  <c r="Q495" i="3"/>
  <c r="Q559" i="3"/>
  <c r="Q623" i="3"/>
  <c r="Q687" i="3"/>
  <c r="Q73" i="3"/>
  <c r="Q137" i="3"/>
  <c r="Q201" i="3"/>
  <c r="Q265" i="3"/>
  <c r="Q329" i="3"/>
  <c r="Q393" i="3"/>
  <c r="Q457" i="3"/>
  <c r="Q521" i="3"/>
  <c r="Q585" i="3"/>
  <c r="Q649" i="3"/>
  <c r="Q58" i="3"/>
  <c r="Q122" i="3"/>
  <c r="Q186" i="3"/>
  <c r="Q250" i="3"/>
  <c r="Q314" i="3"/>
  <c r="Q378" i="3"/>
  <c r="Q442" i="3"/>
  <c r="Q506" i="3"/>
  <c r="Q570" i="3"/>
  <c r="Q634" i="3"/>
  <c r="Q35" i="3"/>
  <c r="Q204" i="3"/>
  <c r="Q376" i="3"/>
  <c r="Q547" i="3"/>
  <c r="Q698" i="3"/>
  <c r="Q762" i="3"/>
  <c r="Q826" i="3"/>
  <c r="Q890" i="3"/>
  <c r="Q954" i="3"/>
  <c r="Q1018" i="3"/>
  <c r="Q80" i="3"/>
  <c r="Q251" i="3"/>
  <c r="Q420" i="3"/>
  <c r="Q592" i="3"/>
  <c r="Q715" i="3"/>
  <c r="Q779" i="3"/>
  <c r="Q843" i="3"/>
  <c r="Q907" i="3"/>
  <c r="Q971" i="3"/>
  <c r="Q1035" i="3"/>
  <c r="Q1099" i="3"/>
  <c r="Q1163" i="3"/>
  <c r="Q972" i="3"/>
  <c r="Q1076" i="3"/>
  <c r="Q104" i="3"/>
  <c r="Q275" i="3"/>
  <c r="Q444" i="3"/>
  <c r="Q616" i="3"/>
  <c r="Q724" i="3"/>
  <c r="Q788" i="3"/>
  <c r="Q852" i="3"/>
  <c r="Q69" i="3"/>
  <c r="Q133" i="3"/>
  <c r="Q197" i="3"/>
  <c r="Q261" i="3"/>
  <c r="Q325" i="3"/>
  <c r="Q389" i="3"/>
  <c r="Q453" i="3"/>
  <c r="Q517" i="3"/>
  <c r="Q581" i="3"/>
  <c r="Q645" i="3"/>
  <c r="Q30" i="3"/>
  <c r="Q94" i="3"/>
  <c r="Q158" i="3"/>
  <c r="Q222" i="3"/>
  <c r="Q286" i="3"/>
  <c r="Q350" i="3"/>
  <c r="Q414" i="3"/>
  <c r="Q478" i="3"/>
  <c r="Q542" i="3"/>
  <c r="Q606" i="3"/>
  <c r="Q670" i="3"/>
  <c r="Q55" i="3"/>
  <c r="Q119" i="3"/>
  <c r="Q183" i="3"/>
  <c r="Q247" i="3"/>
  <c r="Q311" i="3"/>
  <c r="Q375" i="3"/>
  <c r="Q439" i="3"/>
  <c r="Q503" i="3"/>
  <c r="Q567" i="3"/>
  <c r="Q631" i="3"/>
  <c r="Q17" i="3"/>
  <c r="Q81" i="3"/>
  <c r="Q145" i="3"/>
  <c r="Q209" i="3"/>
  <c r="Q273" i="3"/>
  <c r="Q337" i="3"/>
  <c r="Q401" i="3"/>
  <c r="Q465" i="3"/>
  <c r="Q529" i="3"/>
  <c r="Q593" i="3"/>
  <c r="Q657" i="3"/>
  <c r="Q66" i="3"/>
  <c r="Q130" i="3"/>
  <c r="Q194" i="3"/>
  <c r="Q258" i="3"/>
  <c r="Q322" i="3"/>
  <c r="Q386" i="3"/>
  <c r="Q450" i="3"/>
  <c r="Q514" i="3"/>
  <c r="Q578" i="3"/>
  <c r="Q642" i="3"/>
  <c r="Q56" i="3"/>
  <c r="Q227" i="3"/>
  <c r="Q396" i="3"/>
  <c r="Q568" i="3"/>
  <c r="Q706" i="3"/>
  <c r="Q770" i="3"/>
  <c r="Q834" i="3"/>
  <c r="Q898" i="3"/>
  <c r="Q962" i="3"/>
  <c r="Q1026" i="3"/>
  <c r="Q100" i="3"/>
  <c r="Q272" i="3"/>
  <c r="Q443" i="3"/>
  <c r="Q612" i="3"/>
  <c r="Q723" i="3"/>
  <c r="Q787" i="3"/>
  <c r="Q851" i="3"/>
  <c r="Q915" i="3"/>
  <c r="Q979" i="3"/>
  <c r="Q1043" i="3"/>
  <c r="Q1107" i="3"/>
  <c r="Q1171" i="3"/>
  <c r="Q988" i="3"/>
  <c r="Q1084" i="3"/>
  <c r="Q124" i="3"/>
  <c r="Q296" i="3"/>
  <c r="Q467" i="3"/>
  <c r="Q636" i="3"/>
  <c r="Q732" i="3"/>
  <c r="Q796" i="3"/>
  <c r="Q860" i="3"/>
  <c r="Q932" i="3"/>
  <c r="Q1044" i="3"/>
  <c r="Q269" i="3"/>
  <c r="Q102" i="3"/>
  <c r="Q614" i="3"/>
  <c r="Q447" i="3"/>
  <c r="Q281" i="3"/>
  <c r="Q138" i="3"/>
  <c r="Q650" i="3"/>
  <c r="Q906" i="3"/>
  <c r="Q795" i="3"/>
  <c r="Q1092" i="3"/>
  <c r="Q812" i="3"/>
  <c r="Q1020" i="3"/>
  <c r="Q128" i="3"/>
  <c r="Q299" i="3"/>
  <c r="Q468" i="3"/>
  <c r="Q640" i="3"/>
  <c r="Q733" i="3"/>
  <c r="Q797" i="3"/>
  <c r="Q861" i="3"/>
  <c r="Q925" i="3"/>
  <c r="Q989" i="3"/>
  <c r="Q1053" i="3"/>
  <c r="Q1117" i="3"/>
  <c r="Q1181" i="3"/>
  <c r="Q172" i="3"/>
  <c r="Q344" i="3"/>
  <c r="Q515" i="3"/>
  <c r="Q681" i="3"/>
  <c r="Q750" i="3"/>
  <c r="Q814" i="3"/>
  <c r="Q878" i="3"/>
  <c r="Q942" i="3"/>
  <c r="Q1006" i="3"/>
  <c r="Q1070" i="3"/>
  <c r="Q68" i="3"/>
  <c r="Q240" i="3"/>
  <c r="Q411" i="3"/>
  <c r="Q580" i="3"/>
  <c r="Q711" i="3"/>
  <c r="Q775" i="3"/>
  <c r="Q839" i="3"/>
  <c r="Q903" i="3"/>
  <c r="Q967" i="3"/>
  <c r="Q1031" i="3"/>
  <c r="Q371" i="3"/>
  <c r="Q824" i="3"/>
  <c r="Q1066" i="3"/>
  <c r="Q1168" i="3"/>
  <c r="Q1191" i="3"/>
  <c r="Q785" i="3"/>
  <c r="Q372" i="3"/>
  <c r="Q825" i="3"/>
  <c r="Q1071" i="3"/>
  <c r="Q1169" i="3"/>
  <c r="Q1182" i="3"/>
  <c r="Q352" i="3"/>
  <c r="Q136" i="3"/>
  <c r="Q736" i="3"/>
  <c r="Q992" i="3"/>
  <c r="Q1040" i="3"/>
  <c r="Q139" i="3"/>
  <c r="Q737" i="3"/>
  <c r="Q993" i="3"/>
  <c r="Q1140" i="3"/>
  <c r="Q1164" i="3"/>
  <c r="Q913" i="3"/>
  <c r="Q412" i="3"/>
  <c r="Q840" i="3"/>
  <c r="Q1074" i="3"/>
  <c r="Q1174" i="3"/>
  <c r="Q92" i="3"/>
  <c r="Q721" i="3"/>
  <c r="Q416" i="3"/>
  <c r="Q841" i="3"/>
  <c r="Q1079" i="3"/>
  <c r="Q264" i="3"/>
  <c r="Q881" i="3"/>
  <c r="Q13" i="3"/>
  <c r="Q525" i="3"/>
  <c r="Q358" i="3"/>
  <c r="Q191" i="3"/>
  <c r="Q25" i="3"/>
  <c r="Q537" i="3"/>
  <c r="Q394" i="3"/>
  <c r="Q588" i="3"/>
  <c r="Q292" i="3"/>
  <c r="Q1051" i="3"/>
  <c r="Q659" i="3"/>
  <c r="Q924" i="3"/>
  <c r="Q43" i="3"/>
  <c r="Q212" i="3"/>
  <c r="Q384" i="3"/>
  <c r="Q555" i="3"/>
  <c r="Q701" i="3"/>
  <c r="Q765" i="3"/>
  <c r="Q829" i="3"/>
  <c r="Q893" i="3"/>
  <c r="Q957" i="3"/>
  <c r="Q1021" i="3"/>
  <c r="Q1085" i="3"/>
  <c r="Q1149" i="3"/>
  <c r="Q88" i="3"/>
  <c r="Q259" i="3"/>
  <c r="Q428" i="3"/>
  <c r="Q600" i="3"/>
  <c r="Q718" i="3"/>
  <c r="Q782" i="3"/>
  <c r="Q846" i="3"/>
  <c r="Q910" i="3"/>
  <c r="Q974" i="3"/>
  <c r="Q1038" i="3"/>
  <c r="Q1102" i="3"/>
  <c r="Q155" i="3"/>
  <c r="Q324" i="3"/>
  <c r="Q496" i="3"/>
  <c r="Q667" i="3"/>
  <c r="Q743" i="3"/>
  <c r="Q807" i="3"/>
  <c r="Q871" i="3"/>
  <c r="Q935" i="3"/>
  <c r="Q999" i="3"/>
  <c r="Q28" i="3"/>
  <c r="Q696" i="3"/>
  <c r="Q952" i="3"/>
  <c r="Q1126" i="3"/>
  <c r="Q1207" i="3"/>
  <c r="Q1008" i="3"/>
  <c r="Q32" i="3"/>
  <c r="Q697" i="3"/>
  <c r="Q953" i="3"/>
  <c r="Q1127" i="3"/>
  <c r="Q1208" i="3"/>
  <c r="Q912" i="3"/>
  <c r="Q1081" i="3"/>
  <c r="Q476" i="3"/>
  <c r="Q864" i="3"/>
  <c r="Q1118" i="3"/>
  <c r="Q849" i="3"/>
  <c r="Q480" i="3"/>
  <c r="Q865" i="3"/>
  <c r="Q1089" i="3"/>
  <c r="Q1183" i="3"/>
  <c r="Q1096" i="3"/>
  <c r="Q72" i="3"/>
  <c r="Q712" i="3"/>
  <c r="Q968" i="3"/>
  <c r="Q1130" i="3"/>
  <c r="Q1212" i="3"/>
  <c r="Q1112" i="3"/>
  <c r="Q75" i="3"/>
  <c r="Q713" i="3"/>
  <c r="Q969" i="3"/>
  <c r="Q1143" i="3"/>
  <c r="Q1080" i="3"/>
  <c r="Q397" i="3"/>
  <c r="Q422" i="3"/>
  <c r="Q383" i="3"/>
  <c r="Q409" i="3"/>
  <c r="Q458" i="3"/>
  <c r="Q842" i="3"/>
  <c r="Q923" i="3"/>
  <c r="Q740" i="3"/>
  <c r="Q964" i="3"/>
  <c r="Q171" i="3"/>
  <c r="Q404" i="3"/>
  <c r="Q619" i="3"/>
  <c r="Q749" i="3"/>
  <c r="Q837" i="3"/>
  <c r="Q917" i="3"/>
  <c r="Q1005" i="3"/>
  <c r="Q1093" i="3"/>
  <c r="Q1173" i="3"/>
  <c r="Q216" i="3"/>
  <c r="Q451" i="3"/>
  <c r="Q664" i="3"/>
  <c r="Q766" i="3"/>
  <c r="Q854" i="3"/>
  <c r="Q934" i="3"/>
  <c r="Q1022" i="3"/>
  <c r="Q1110" i="3"/>
  <c r="Q219" i="3"/>
  <c r="Q452" i="3"/>
  <c r="Q683" i="3"/>
  <c r="Q767" i="3"/>
  <c r="Q855" i="3"/>
  <c r="Q943" i="3"/>
  <c r="Q1023" i="3"/>
  <c r="Q540" i="3"/>
  <c r="Q984" i="3"/>
  <c r="Q1158" i="3"/>
  <c r="Q752" i="3"/>
  <c r="Q116" i="3"/>
  <c r="Q793" i="3"/>
  <c r="Q1103" i="3"/>
  <c r="Q1104" i="3"/>
  <c r="Q1186" i="3"/>
  <c r="R1186" i="3" s="1"/>
  <c r="Q307" i="3"/>
  <c r="Q896" i="3"/>
  <c r="Q520" i="3"/>
  <c r="Q308" i="3"/>
  <c r="Q897" i="3"/>
  <c r="Q1129" i="3"/>
  <c r="Q179" i="3"/>
  <c r="Q156" i="3"/>
  <c r="Q808" i="3"/>
  <c r="Q1106" i="3"/>
  <c r="Q1132" i="3"/>
  <c r="Q96" i="3"/>
  <c r="Q587" i="3"/>
  <c r="Q1001" i="3"/>
  <c r="Q1213" i="3"/>
  <c r="Q1188" i="3"/>
  <c r="Q77" i="3"/>
  <c r="Q38" i="3"/>
  <c r="Q63" i="3"/>
  <c r="Q89" i="3"/>
  <c r="Q74" i="3"/>
  <c r="Q248" i="3"/>
  <c r="Q464" i="3"/>
  <c r="Q1004" i="3"/>
  <c r="Q876" i="3"/>
  <c r="Q64" i="3"/>
  <c r="Q276" i="3"/>
  <c r="Q512" i="3"/>
  <c r="Q709" i="3"/>
  <c r="Q789" i="3"/>
  <c r="R788" i="3" s="1"/>
  <c r="Q877" i="3"/>
  <c r="Q965" i="3"/>
  <c r="Q1045" i="3"/>
  <c r="Q1133" i="3"/>
  <c r="Q108" i="3"/>
  <c r="Q323" i="3"/>
  <c r="Q556" i="3"/>
  <c r="Q726" i="3"/>
  <c r="Q806" i="3"/>
  <c r="Q894" i="3"/>
  <c r="Q982" i="3"/>
  <c r="Q1062" i="3"/>
  <c r="Q112" i="3"/>
  <c r="Q347" i="3"/>
  <c r="Q560" i="3"/>
  <c r="Q727" i="3"/>
  <c r="Q815" i="3"/>
  <c r="Q895" i="3"/>
  <c r="Q983" i="3"/>
  <c r="Q115" i="3"/>
  <c r="Q792" i="3"/>
  <c r="Q1098" i="3"/>
  <c r="Q1088" i="3"/>
  <c r="Q267" i="3"/>
  <c r="Q544" i="3"/>
  <c r="Q985" i="3"/>
  <c r="R985" i="3" s="1"/>
  <c r="Q1159" i="3"/>
  <c r="Q348" i="3"/>
  <c r="Q1145" i="3"/>
  <c r="Q704" i="3"/>
  <c r="Q1056" i="3"/>
  <c r="Q1041" i="3"/>
  <c r="Q705" i="3"/>
  <c r="Q1057" i="3"/>
  <c r="Q1192" i="3"/>
  <c r="Q753" i="3"/>
  <c r="Q584" i="3"/>
  <c r="Q1000" i="3"/>
  <c r="Q1162" i="3"/>
  <c r="Q784" i="3"/>
  <c r="Q160" i="3"/>
  <c r="Q809" i="3"/>
  <c r="Q1111" i="3"/>
  <c r="Q1176" i="3"/>
  <c r="Q205" i="3"/>
  <c r="Q486" i="3"/>
  <c r="Q639" i="3"/>
  <c r="Q266" i="3"/>
  <c r="Q970" i="3"/>
  <c r="Q1179" i="3"/>
  <c r="Q940" i="3"/>
  <c r="Q192" i="3"/>
  <c r="Q491" i="3"/>
  <c r="Q725" i="3"/>
  <c r="Q845" i="3"/>
  <c r="Q949" i="3"/>
  <c r="Q1069" i="3"/>
  <c r="Q24" i="3"/>
  <c r="Q300" i="3"/>
  <c r="Q620" i="3"/>
  <c r="Q774" i="3"/>
  <c r="Q886" i="3"/>
  <c r="Q998" i="3"/>
  <c r="Q27" i="3"/>
  <c r="Q304" i="3"/>
  <c r="Q624" i="3"/>
  <c r="Q783" i="3"/>
  <c r="Q887" i="3"/>
  <c r="Q1007" i="3"/>
  <c r="Q627" i="3"/>
  <c r="Q1082" i="3"/>
  <c r="Q1170" i="3"/>
  <c r="Q203" i="3"/>
  <c r="Q921" i="3"/>
  <c r="Q1190" i="3"/>
  <c r="Q608" i="3"/>
  <c r="Q648" i="3"/>
  <c r="Q1150" i="3"/>
  <c r="Q395" i="3"/>
  <c r="Q1025" i="3"/>
  <c r="Q1210" i="3"/>
  <c r="Q243" i="3"/>
  <c r="Q936" i="3"/>
  <c r="Q1193" i="3"/>
  <c r="Q977" i="3"/>
  <c r="Q777" i="3"/>
  <c r="Q1153" i="3"/>
  <c r="Q333" i="3"/>
  <c r="Q461" i="3"/>
  <c r="Q678" i="3"/>
  <c r="Q217" i="3"/>
  <c r="R216" i="3" s="1"/>
  <c r="Q522" i="3"/>
  <c r="Q123" i="3"/>
  <c r="Q316" i="3"/>
  <c r="Q1068" i="3"/>
  <c r="Q256" i="3"/>
  <c r="Q576" i="3"/>
  <c r="Q757" i="3"/>
  <c r="Q869" i="3"/>
  <c r="Q981" i="3"/>
  <c r="Q1101" i="3"/>
  <c r="Q67" i="3"/>
  <c r="Q387" i="3"/>
  <c r="Q694" i="3"/>
  <c r="Q798" i="3"/>
  <c r="Q918" i="3"/>
  <c r="Q1030" i="3"/>
  <c r="Q91" i="3"/>
  <c r="Q388" i="3"/>
  <c r="Q695" i="3"/>
  <c r="Q799" i="3"/>
  <c r="Q919" i="3"/>
  <c r="Q1039" i="3"/>
  <c r="Q760" i="3"/>
  <c r="Q1136" i="3"/>
  <c r="Q848" i="3"/>
  <c r="Q459" i="3"/>
  <c r="Q1049" i="3"/>
  <c r="Q1128" i="3"/>
  <c r="Q945" i="3"/>
  <c r="Q800" i="3"/>
  <c r="Q1144" i="3"/>
  <c r="Q651" i="3"/>
  <c r="Q1105" i="3"/>
  <c r="Q880" i="3"/>
  <c r="Q499" i="3"/>
  <c r="Q1058" i="3"/>
  <c r="Q1175" i="3"/>
  <c r="Q1167" i="3"/>
  <c r="Q905" i="3"/>
  <c r="Q684" i="3"/>
  <c r="Q589" i="3"/>
  <c r="Q127" i="3"/>
  <c r="Q345" i="3"/>
  <c r="Q586" i="3"/>
  <c r="Q635" i="3"/>
  <c r="Q488" i="3"/>
  <c r="Q1100" i="3"/>
  <c r="Q320" i="3"/>
  <c r="Q596" i="3"/>
  <c r="Q773" i="3"/>
  <c r="Q885" i="3"/>
  <c r="Q997" i="3"/>
  <c r="Q1109" i="3"/>
  <c r="Q131" i="3"/>
  <c r="Q408" i="3"/>
  <c r="Q702" i="3"/>
  <c r="Q822" i="3"/>
  <c r="Q926" i="3"/>
  <c r="Q1046" i="3"/>
  <c r="Q132" i="3"/>
  <c r="Q432" i="3"/>
  <c r="Q703" i="3"/>
  <c r="Q823" i="3"/>
  <c r="Q927" i="3"/>
  <c r="Q1047" i="3"/>
  <c r="Q856" i="3"/>
  <c r="Q1146" i="3"/>
  <c r="Q1134" i="3"/>
  <c r="Q628" i="3"/>
  <c r="Q1087" i="3"/>
  <c r="Q1160" i="3"/>
  <c r="Q1197" i="3"/>
  <c r="Q832" i="3"/>
  <c r="Q1214" i="3"/>
  <c r="Q769" i="3"/>
  <c r="Q1119" i="3"/>
  <c r="Q1166" i="3"/>
  <c r="Q668" i="3"/>
  <c r="Q1090" i="3"/>
  <c r="Q1204" i="3"/>
  <c r="Q244" i="3"/>
  <c r="Q937" i="3"/>
  <c r="Q816" i="3"/>
  <c r="Q653" i="3"/>
  <c r="Q255" i="3"/>
  <c r="Q473" i="3"/>
  <c r="Q76" i="3"/>
  <c r="Q731" i="3"/>
  <c r="Q748" i="3"/>
  <c r="Q20" i="3"/>
  <c r="Q340" i="3"/>
  <c r="Q660" i="3"/>
  <c r="Q781" i="3"/>
  <c r="Q901" i="3"/>
  <c r="Q1013" i="3"/>
  <c r="Q1125" i="3"/>
  <c r="Q152" i="3"/>
  <c r="Q472" i="3"/>
  <c r="Q710" i="3"/>
  <c r="Q830" i="3"/>
  <c r="Q950" i="3"/>
  <c r="Q1054" i="3"/>
  <c r="Q176" i="3"/>
  <c r="Q475" i="3"/>
  <c r="Q719" i="3"/>
  <c r="Q831" i="3"/>
  <c r="Q951" i="3"/>
  <c r="Q1055" i="3"/>
  <c r="Q888" i="3"/>
  <c r="Q1178" i="3"/>
  <c r="Q1196" i="3"/>
  <c r="Q729" i="3"/>
  <c r="Q1116" i="3"/>
  <c r="Q1200" i="3"/>
  <c r="Q51" i="3"/>
  <c r="Q928" i="3"/>
  <c r="Q523" i="3"/>
  <c r="Q801" i="3"/>
  <c r="Q1151" i="3"/>
  <c r="Q436" i="3"/>
  <c r="Q744" i="3"/>
  <c r="Q1120" i="3"/>
  <c r="Q604" i="3"/>
  <c r="Q331" i="3"/>
  <c r="Q1033" i="3"/>
  <c r="Q944" i="3"/>
  <c r="Q230" i="3"/>
  <c r="Q511" i="3"/>
  <c r="Q665" i="3"/>
  <c r="Q714" i="3"/>
  <c r="Q987" i="3"/>
  <c r="Q868" i="3"/>
  <c r="Q107" i="3"/>
  <c r="Q427" i="3"/>
  <c r="Q693" i="3"/>
  <c r="Q813" i="3"/>
  <c r="Q933" i="3"/>
  <c r="Q1037" i="3"/>
  <c r="Q1157" i="3"/>
  <c r="Q236" i="3"/>
  <c r="Q536" i="3"/>
  <c r="Q742" i="3"/>
  <c r="Q862" i="3"/>
  <c r="Q966" i="3"/>
  <c r="Q1086" i="3"/>
  <c r="Q260" i="3"/>
  <c r="Q539" i="3"/>
  <c r="Q751" i="3"/>
  <c r="Q863" i="3"/>
  <c r="Q975" i="3"/>
  <c r="Q284" i="3"/>
  <c r="Q1016" i="3"/>
  <c r="Q1198" i="3"/>
  <c r="Q1124" i="3"/>
  <c r="R1123" i="3" s="1"/>
  <c r="Q857" i="3"/>
  <c r="Q1148" i="3"/>
  <c r="Q1064" i="3"/>
  <c r="Q392" i="3"/>
  <c r="Q1024" i="3"/>
  <c r="Q52" i="3"/>
  <c r="Q929" i="3"/>
  <c r="Q1172" i="3"/>
  <c r="Q1135" i="3"/>
  <c r="Q872" i="3"/>
  <c r="Q1152" i="3"/>
  <c r="Q1154" i="3"/>
  <c r="Q672" i="3"/>
  <c r="Q1095" i="3"/>
  <c r="Q688" i="3"/>
  <c r="Q141" i="3"/>
  <c r="Q294" i="3"/>
  <c r="Q575" i="3"/>
  <c r="Q202" i="3"/>
  <c r="Q778" i="3"/>
  <c r="Q1115" i="3"/>
  <c r="Q892" i="3"/>
  <c r="Q148" i="3"/>
  <c r="Q448" i="3"/>
  <c r="Q717" i="3"/>
  <c r="Q821" i="3"/>
  <c r="Q941" i="3"/>
  <c r="Q1061" i="3"/>
  <c r="Q1165" i="3"/>
  <c r="Q280" i="3"/>
  <c r="Q579" i="3"/>
  <c r="Q758" i="3"/>
  <c r="Q870" i="3"/>
  <c r="Q990" i="3"/>
  <c r="Q1094" i="3"/>
  <c r="Q283" i="3"/>
  <c r="Q603" i="3"/>
  <c r="Q759" i="3"/>
  <c r="Q879" i="3"/>
  <c r="Q991" i="3"/>
  <c r="Q456" i="3"/>
  <c r="Q1048" i="3"/>
  <c r="Q1138" i="3"/>
  <c r="Q1177" i="3"/>
  <c r="Q889" i="3"/>
  <c r="Q1180" i="3"/>
  <c r="Q1122" i="3"/>
  <c r="Q563" i="3"/>
  <c r="Q1072" i="3"/>
  <c r="Q224" i="3"/>
  <c r="Q961" i="3"/>
  <c r="Q1201" i="3"/>
  <c r="Q1206" i="3"/>
  <c r="Q904" i="3"/>
  <c r="Q1184" i="3"/>
  <c r="Q1205" i="3"/>
  <c r="Q745" i="3"/>
  <c r="Q1121" i="3"/>
  <c r="Q1113" i="3"/>
  <c r="Q153" i="3"/>
  <c r="Q948" i="3"/>
  <c r="Q853" i="3"/>
  <c r="Q364" i="3"/>
  <c r="Q1014" i="3"/>
  <c r="Q791" i="3"/>
  <c r="Q1114" i="3"/>
  <c r="Q1199" i="3"/>
  <c r="Q564" i="3"/>
  <c r="Q1032" i="3"/>
  <c r="Q1185" i="3"/>
  <c r="Q601" i="3"/>
  <c r="Q84" i="3"/>
  <c r="Q909" i="3"/>
  <c r="Q492" i="3"/>
  <c r="Q1078" i="3"/>
  <c r="Q847" i="3"/>
  <c r="Q1189" i="3"/>
  <c r="Q720" i="3"/>
  <c r="Q833" i="3"/>
  <c r="Q1142" i="3"/>
  <c r="Q180" i="3"/>
  <c r="Q1034" i="3"/>
  <c r="Q532" i="3"/>
  <c r="Q1077" i="3"/>
  <c r="Q790" i="3"/>
  <c r="Q368" i="3"/>
  <c r="Q1015" i="3"/>
  <c r="Q288" i="3"/>
  <c r="Q768" i="3"/>
  <c r="Q1194" i="3"/>
  <c r="Q1097" i="3"/>
  <c r="Q166" i="3"/>
  <c r="Q859" i="3"/>
  <c r="Q680" i="3"/>
  <c r="Q1141" i="3"/>
  <c r="Q838" i="3"/>
  <c r="Q516" i="3"/>
  <c r="Q200" i="3"/>
  <c r="Q761" i="3"/>
  <c r="Q960" i="3"/>
  <c r="Q1065" i="3"/>
  <c r="Q500" i="3"/>
  <c r="Q319" i="3"/>
  <c r="Q805" i="3"/>
  <c r="Q958" i="3"/>
  <c r="Q920" i="3"/>
  <c r="Q1156" i="3"/>
  <c r="Q1063" i="3"/>
  <c r="Q330" i="3"/>
  <c r="Q973" i="3"/>
  <c r="Q419" i="3"/>
  <c r="Q1029" i="3"/>
  <c r="Q196" i="3"/>
  <c r="Q1009" i="3"/>
  <c r="Q1161" i="3"/>
  <c r="Q147" i="3"/>
  <c r="Q44" i="3"/>
  <c r="Q644" i="3"/>
  <c r="Q1017" i="3"/>
  <c r="Q328" i="3"/>
  <c r="Q804" i="3"/>
  <c r="Q195" i="3"/>
  <c r="Q735" i="3"/>
  <c r="Q1137" i="3"/>
  <c r="Q776" i="3"/>
  <c r="Q235" i="3"/>
  <c r="Q643" i="3"/>
  <c r="Q363" i="3"/>
  <c r="Q734" i="3"/>
  <c r="Q959" i="3"/>
  <c r="Q220" i="3"/>
  <c r="Q976" i="3"/>
  <c r="Q550" i="3"/>
  <c r="Q741" i="3"/>
  <c r="Q902" i="3"/>
  <c r="Q728" i="3"/>
  <c r="Q1209" i="3"/>
  <c r="Q873" i="3"/>
  <c r="Q911" i="3"/>
  <c r="Q435" i="3"/>
  <c r="Q817" i="3"/>
  <c r="Q1073" i="3"/>
  <c r="Q1202" i="3"/>
  <c r="R1202" i="3" s="1"/>
  <c r="Q48" i="3"/>
  <c r="R1105" i="3" l="1"/>
  <c r="G8" i="3"/>
  <c r="H8" i="3"/>
  <c r="R479" i="3"/>
  <c r="R885" i="3"/>
  <c r="R619" i="3"/>
  <c r="R785" i="3"/>
  <c r="R776" i="3"/>
  <c r="R121" i="3"/>
  <c r="R343" i="3"/>
  <c r="R176" i="3"/>
  <c r="R1187" i="3"/>
  <c r="R616" i="3"/>
  <c r="R1075" i="3"/>
  <c r="R1059" i="3"/>
  <c r="R546" i="3"/>
  <c r="R504" i="3"/>
  <c r="R368" i="3"/>
  <c r="R800" i="3"/>
  <c r="R490" i="3"/>
  <c r="R1083" i="3"/>
  <c r="R578" i="3"/>
  <c r="R208" i="3"/>
  <c r="R872" i="3"/>
  <c r="R279" i="3"/>
  <c r="R1118" i="3"/>
  <c r="R403" i="3"/>
  <c r="R144" i="3"/>
  <c r="R671" i="3"/>
  <c r="R83" i="3"/>
  <c r="R510" i="3"/>
  <c r="R832" i="3"/>
  <c r="R949" i="3"/>
  <c r="R1108" i="3"/>
  <c r="R854" i="3"/>
  <c r="R549" i="3"/>
  <c r="R939" i="3"/>
  <c r="R440" i="3"/>
  <c r="R1021" i="3"/>
  <c r="R811" i="3"/>
  <c r="R240" i="3"/>
  <c r="R88" i="3"/>
  <c r="R837" i="3"/>
  <c r="R520" i="3"/>
  <c r="R93" i="3"/>
  <c r="R305" i="3"/>
  <c r="R270" i="3"/>
  <c r="R572" i="3"/>
  <c r="R610" i="3"/>
  <c r="R691" i="3"/>
  <c r="R40" i="3"/>
  <c r="R541" i="3"/>
  <c r="R223" i="3"/>
  <c r="R390" i="3"/>
  <c r="R908" i="3"/>
  <c r="R205" i="3"/>
  <c r="R915" i="3"/>
  <c r="R642" i="3"/>
  <c r="R374" i="3"/>
  <c r="R177" i="3"/>
  <c r="R859" i="3"/>
  <c r="R677" i="3"/>
  <c r="R1003" i="3"/>
  <c r="R408" i="3"/>
  <c r="R196" i="3"/>
  <c r="R180" i="3"/>
  <c r="R346" i="3"/>
  <c r="R1116" i="3"/>
  <c r="R790" i="3"/>
  <c r="R864" i="3"/>
  <c r="R1080" i="3"/>
  <c r="R744" i="3"/>
  <c r="R525" i="3"/>
  <c r="R363" i="3"/>
  <c r="R1141" i="3"/>
  <c r="R712" i="3"/>
  <c r="R1181" i="3"/>
  <c r="R771" i="3"/>
  <c r="R907" i="3"/>
  <c r="R664" i="3"/>
  <c r="R748" i="3"/>
  <c r="R1144" i="3"/>
  <c r="R1173" i="3"/>
  <c r="R1207" i="3"/>
  <c r="R1019" i="3"/>
  <c r="R450" i="3"/>
  <c r="R430" i="3"/>
  <c r="R597" i="3"/>
  <c r="R85" i="3"/>
  <c r="R198" i="3"/>
  <c r="R726" i="3"/>
  <c r="R74" i="3"/>
  <c r="R1168" i="3"/>
  <c r="R250" i="3"/>
  <c r="R736" i="3"/>
  <c r="R649" i="3"/>
  <c r="R896" i="3"/>
  <c r="R456" i="3"/>
  <c r="R444" i="3"/>
  <c r="R423" i="3"/>
  <c r="R1013" i="3"/>
  <c r="R1084" i="3"/>
  <c r="R80" i="3"/>
  <c r="R700" i="3"/>
  <c r="R561" i="3"/>
  <c r="R14" i="3"/>
  <c r="R378" i="3"/>
  <c r="R925" i="3"/>
  <c r="R418" i="3"/>
  <c r="R274" i="3"/>
  <c r="R894" i="3"/>
  <c r="R530" i="3"/>
  <c r="R856" i="3"/>
  <c r="R1145" i="3"/>
  <c r="R765" i="3"/>
  <c r="R326" i="3"/>
  <c r="R122" i="3"/>
  <c r="R1007" i="3"/>
  <c r="R931" i="3"/>
  <c r="R260" i="3"/>
  <c r="R589" i="3"/>
  <c r="R1096" i="3"/>
  <c r="R256" i="3"/>
  <c r="R1120" i="3"/>
  <c r="R1048" i="3"/>
  <c r="R1147" i="3"/>
  <c r="R653" i="3"/>
  <c r="R792" i="3"/>
  <c r="R723" i="3"/>
  <c r="R745" i="3"/>
  <c r="R56" i="3"/>
  <c r="R29" i="3"/>
  <c r="R49" i="3"/>
  <c r="R680" i="3"/>
  <c r="R720" i="3"/>
  <c r="R904" i="3"/>
  <c r="R1180" i="3"/>
  <c r="R891" i="3"/>
  <c r="R52" i="3"/>
  <c r="R1015" i="3"/>
  <c r="R729" i="3"/>
  <c r="R731" i="3"/>
  <c r="R1204" i="3"/>
  <c r="R701" i="3"/>
  <c r="R320" i="3"/>
  <c r="R650" i="3"/>
  <c r="R1135" i="3"/>
  <c r="R1029" i="3"/>
  <c r="R936" i="3"/>
  <c r="R981" i="3"/>
  <c r="R1044" i="3"/>
  <c r="R875" i="3"/>
  <c r="R808" i="3"/>
  <c r="R984" i="3"/>
  <c r="R218" i="3"/>
  <c r="R215" i="3"/>
  <c r="R382" i="3"/>
  <c r="R1149" i="3"/>
  <c r="R881" i="3"/>
  <c r="R138" i="3"/>
  <c r="R410" i="3"/>
  <c r="R795" i="3"/>
  <c r="R1171" i="3"/>
  <c r="R656" i="3"/>
  <c r="R477" i="3"/>
  <c r="R103" i="3"/>
  <c r="R661" i="3"/>
  <c r="R149" i="3"/>
  <c r="R753" i="3"/>
  <c r="R607" i="3"/>
  <c r="R262" i="3"/>
  <c r="R359" i="3"/>
  <c r="R688" i="3"/>
  <c r="R1062" i="3"/>
  <c r="R152" i="3"/>
  <c r="R1176" i="3"/>
  <c r="R392" i="3"/>
  <c r="R426" i="3"/>
  <c r="R130" i="3"/>
  <c r="R304" i="3"/>
  <c r="R704" i="3"/>
  <c r="R544" i="3"/>
  <c r="R806" i="3"/>
  <c r="R1104" i="3"/>
  <c r="R860" i="3"/>
  <c r="R568" i="3"/>
  <c r="R533" i="3"/>
  <c r="R768" i="3"/>
  <c r="R328" i="3"/>
  <c r="R316" i="3"/>
  <c r="R779" i="3"/>
  <c r="R498" i="3"/>
  <c r="R640" i="3"/>
  <c r="R116" i="3"/>
  <c r="R95" i="3"/>
  <c r="R764" i="3"/>
  <c r="R1139" i="3"/>
  <c r="R624" i="3"/>
  <c r="R113" i="3"/>
  <c r="R1049" i="3"/>
  <c r="R246" i="3"/>
  <c r="R413" i="3"/>
  <c r="R508" i="3"/>
  <c r="R995" i="3"/>
  <c r="R376" i="3"/>
  <c r="R272" i="3"/>
  <c r="R552" i="3"/>
  <c r="R483" i="3"/>
  <c r="R362" i="3"/>
  <c r="R634" i="3"/>
  <c r="R1102" i="3"/>
  <c r="R934" i="3"/>
  <c r="R787" i="3"/>
  <c r="R506" i="3"/>
  <c r="R637" i="3"/>
  <c r="R48" i="3"/>
  <c r="R1213" i="3"/>
  <c r="R1043" i="3"/>
  <c r="R851" i="3"/>
  <c r="R1160" i="3"/>
  <c r="R1032" i="3"/>
  <c r="R888" i="3"/>
  <c r="R968" i="3"/>
  <c r="R962" i="3"/>
  <c r="R355" i="3"/>
  <c r="R1052" i="3"/>
  <c r="R70" i="3"/>
  <c r="R454" i="3"/>
  <c r="R817" i="3"/>
  <c r="R816" i="3"/>
  <c r="R264" i="3"/>
  <c r="R230" i="3"/>
  <c r="R231" i="3"/>
  <c r="H9" i="3"/>
  <c r="G9" i="3"/>
  <c r="H17" i="3"/>
  <c r="G17" i="3"/>
  <c r="R1125" i="3"/>
  <c r="H21" i="3"/>
  <c r="G21" i="3"/>
  <c r="H18" i="3"/>
  <c r="G18" i="3"/>
  <c r="R693" i="3"/>
  <c r="R1024" i="3"/>
  <c r="R1004" i="3"/>
  <c r="R24" i="3"/>
  <c r="R761" i="3"/>
  <c r="H22" i="3"/>
  <c r="G22" i="3"/>
  <c r="R564" i="3"/>
  <c r="R778" i="3"/>
  <c r="R397" i="3"/>
  <c r="R68" i="3"/>
  <c r="R349" i="3"/>
  <c r="R715" i="3"/>
  <c r="R188" i="3"/>
  <c r="G16" i="3"/>
  <c r="H16" i="3"/>
  <c r="G14" i="3"/>
  <c r="H14" i="3"/>
  <c r="R920" i="3"/>
  <c r="R330" i="3"/>
  <c r="R394" i="3"/>
  <c r="R1056" i="3"/>
  <c r="R560" i="3"/>
  <c r="R917" i="3"/>
  <c r="R400" i="3"/>
  <c r="R405" i="3"/>
  <c r="R252" i="3"/>
  <c r="R699" i="3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R280" i="3"/>
  <c r="R644" i="3"/>
  <c r="R112" i="3"/>
  <c r="R1045" i="3"/>
  <c r="R282" i="3"/>
  <c r="R742" i="3"/>
  <c r="R461" i="3"/>
  <c r="R876" i="3"/>
  <c r="R514" i="3"/>
  <c r="R613" i="3"/>
  <c r="R606" i="3"/>
  <c r="R1155" i="3"/>
  <c r="R1094" i="3"/>
  <c r="R780" i="3"/>
  <c r="R628" i="3"/>
  <c r="R740" i="3"/>
  <c r="R953" i="3"/>
  <c r="R912" i="3"/>
  <c r="R796" i="3"/>
  <c r="R452" i="3"/>
  <c r="R424" i="3"/>
  <c r="R615" i="3"/>
  <c r="R763" i="3"/>
  <c r="R132" i="3"/>
  <c r="R1088" i="3"/>
  <c r="R600" i="3"/>
  <c r="R1190" i="3"/>
  <c r="R733" i="3"/>
  <c r="R295" i="3"/>
  <c r="R441" i="3"/>
  <c r="R584" i="3"/>
  <c r="R72" i="3"/>
  <c r="R1211" i="3"/>
  <c r="R351" i="3"/>
  <c r="R157" i="3"/>
  <c r="R557" i="3"/>
  <c r="R1137" i="3"/>
  <c r="R960" i="3"/>
  <c r="R464" i="3"/>
  <c r="R697" i="3"/>
  <c r="R899" i="3"/>
  <c r="R1009" i="3"/>
  <c r="R184" i="3"/>
  <c r="R23" i="3"/>
  <c r="R538" i="3"/>
  <c r="R46" i="3"/>
  <c r="R213" i="3"/>
  <c r="R344" i="3"/>
  <c r="R1148" i="3"/>
  <c r="R1054" i="3"/>
  <c r="R1068" i="3"/>
  <c r="R372" i="3"/>
  <c r="R227" i="3"/>
  <c r="R1113" i="3"/>
  <c r="R535" i="3"/>
  <c r="R26" i="3"/>
  <c r="R739" i="3"/>
  <c r="R849" i="3"/>
  <c r="R42" i="3"/>
  <c r="R1163" i="3"/>
  <c r="R732" i="3"/>
  <c r="R202" i="3"/>
  <c r="R682" i="3"/>
  <c r="R170" i="3"/>
  <c r="R902" i="3"/>
  <c r="R448" i="3"/>
  <c r="R1051" i="3"/>
  <c r="R415" i="3"/>
  <c r="R380" i="3"/>
  <c r="R398" i="3"/>
  <c r="R565" i="3"/>
  <c r="R621" i="3"/>
  <c r="R784" i="3"/>
  <c r="R248" i="3"/>
  <c r="R747" i="3"/>
  <c r="R602" i="3"/>
  <c r="R90" i="3"/>
  <c r="R1107" i="3"/>
  <c r="R277" i="3"/>
  <c r="R848" i="3"/>
  <c r="R1112" i="3"/>
  <c r="R921" i="3"/>
  <c r="R285" i="3"/>
  <c r="R99" i="3"/>
  <c r="R812" i="3"/>
  <c r="R1093" i="3"/>
  <c r="R536" i="3"/>
  <c r="R1078" i="3"/>
  <c r="R386" i="3"/>
  <c r="R516" i="3"/>
  <c r="R852" i="3"/>
  <c r="R972" i="3"/>
  <c r="R825" i="3"/>
  <c r="R570" i="3"/>
  <c r="R58" i="3"/>
  <c r="R200" i="3"/>
  <c r="R594" i="3"/>
  <c r="R679" i="3"/>
  <c r="R334" i="3"/>
  <c r="R979" i="3"/>
  <c r="R60" i="3"/>
  <c r="R312" i="3"/>
  <c r="R134" i="3"/>
  <c r="R1011" i="3"/>
  <c r="R956" i="3"/>
  <c r="R18" i="3"/>
  <c r="R666" i="3"/>
  <c r="R154" i="3"/>
  <c r="R629" i="3"/>
  <c r="R118" i="3"/>
  <c r="R518" i="3"/>
  <c r="R174" i="3"/>
  <c r="R341" i="3"/>
  <c r="R805" i="3"/>
  <c r="R543" i="3"/>
  <c r="R515" i="3"/>
  <c r="R721" i="3"/>
  <c r="R1162" i="3"/>
  <c r="R1041" i="3"/>
  <c r="R868" i="3"/>
  <c r="R432" i="3"/>
  <c r="R458" i="3"/>
  <c r="R803" i="3"/>
  <c r="R1132" i="3"/>
  <c r="R1072" i="3"/>
  <c r="R645" i="3"/>
  <c r="R1067" i="3"/>
  <c r="R487" i="3"/>
  <c r="R324" i="3"/>
  <c r="R718" i="3"/>
  <c r="R1169" i="3"/>
  <c r="R760" i="3"/>
  <c r="R755" i="3"/>
  <c r="R469" i="3"/>
  <c r="R120" i="3"/>
  <c r="R658" i="3"/>
  <c r="R632" i="3"/>
  <c r="R1158" i="3"/>
  <c r="R417" i="3"/>
  <c r="R998" i="3"/>
  <c r="R976" i="3"/>
  <c r="R234" i="3"/>
  <c r="R1027" i="3"/>
  <c r="R1110" i="3"/>
  <c r="R924" i="3"/>
  <c r="R916" i="3"/>
  <c r="R636" i="3"/>
  <c r="R965" i="3"/>
  <c r="R611" i="3"/>
  <c r="R1026" i="3"/>
  <c r="R1115" i="3"/>
  <c r="R599" i="3"/>
  <c r="R87" i="3"/>
  <c r="R254" i="3"/>
  <c r="R269" i="3"/>
  <c r="R436" i="3"/>
  <c r="R928" i="3"/>
  <c r="R1064" i="3"/>
  <c r="R1081" i="3"/>
  <c r="R728" i="3"/>
  <c r="R287" i="3"/>
  <c r="R124" i="3"/>
  <c r="R797" i="3"/>
  <c r="R433" i="3"/>
  <c r="R862" i="3"/>
  <c r="R940" i="3"/>
  <c r="R709" i="3"/>
  <c r="R1035" i="3"/>
  <c r="R974" i="3"/>
  <c r="R1099" i="3"/>
  <c r="R1177" i="3"/>
  <c r="R1000" i="3"/>
  <c r="R526" i="3"/>
  <c r="R592" i="3"/>
  <c r="R724" i="3"/>
  <c r="R462" i="3"/>
  <c r="R947" i="3"/>
  <c r="R64" i="3"/>
  <c r="R31" i="3"/>
  <c r="R266" i="3"/>
  <c r="R987" i="3"/>
  <c r="R167" i="3"/>
  <c r="R159" i="3"/>
  <c r="R466" i="3"/>
  <c r="R471" i="3"/>
  <c r="R126" i="3"/>
  <c r="R141" i="3"/>
  <c r="R308" i="3"/>
  <c r="R586" i="3"/>
  <c r="R161" i="3"/>
  <c r="R339" i="3"/>
  <c r="R38" i="3"/>
  <c r="R1194" i="3"/>
  <c r="R706" i="3"/>
  <c r="R830" i="3"/>
  <c r="R971" i="3"/>
  <c r="R977" i="3"/>
  <c r="R1085" i="3"/>
  <c r="R879" i="3"/>
  <c r="R773" i="3"/>
  <c r="R1184" i="3"/>
  <c r="R1091" i="3"/>
  <c r="R1192" i="3"/>
  <c r="R1157" i="3"/>
  <c r="R106" i="3"/>
  <c r="R1172" i="3"/>
  <c r="R827" i="3"/>
  <c r="R695" i="3"/>
  <c r="R206" i="3"/>
  <c r="R883" i="3"/>
  <c r="R291" i="3"/>
  <c r="R194" i="3"/>
  <c r="R580" i="3"/>
  <c r="R528" i="3"/>
  <c r="R923" i="3"/>
  <c r="R582" i="3"/>
  <c r="R407" i="3"/>
  <c r="R62" i="3"/>
  <c r="R77" i="3"/>
  <c r="R244" i="3"/>
  <c r="R438" i="3"/>
  <c r="R238" i="3"/>
  <c r="R486" i="3"/>
  <c r="R789" i="3"/>
  <c r="R824" i="3"/>
  <c r="R950" i="3"/>
  <c r="R1109" i="3"/>
  <c r="R1006" i="3"/>
  <c r="R190" i="3"/>
  <c r="R988" i="3"/>
  <c r="R1174" i="3"/>
  <c r="R992" i="3"/>
  <c r="R842" i="3"/>
  <c r="R821" i="3"/>
  <c r="R21" i="3"/>
  <c r="R982" i="3"/>
  <c r="R844" i="3"/>
  <c r="R793" i="3"/>
  <c r="R1040" i="3"/>
  <c r="R472" i="3"/>
  <c r="R168" i="3"/>
  <c r="R958" i="3"/>
  <c r="R943" i="3"/>
  <c r="R1038" i="3"/>
  <c r="R522" i="3"/>
  <c r="R1131" i="3"/>
  <c r="R496" i="3"/>
  <c r="R210" i="3"/>
  <c r="R233" i="3"/>
  <c r="R354" i="3"/>
  <c r="R609" i="3"/>
  <c r="R587" i="3"/>
  <c r="R1152" i="3"/>
  <c r="R1030" i="3"/>
  <c r="R751" i="3"/>
  <c r="R298" i="3"/>
  <c r="R819" i="3"/>
  <c r="R422" i="3"/>
  <c r="R710" i="3"/>
  <c r="R941" i="3"/>
  <c r="R185" i="3"/>
  <c r="R573" i="3"/>
  <c r="R1201" i="3"/>
  <c r="R314" i="3"/>
  <c r="R136" i="3"/>
  <c r="R221" i="3"/>
  <c r="R1077" i="3"/>
  <c r="R242" i="3"/>
  <c r="R446" i="3"/>
  <c r="R512" i="3"/>
  <c r="R481" i="3"/>
  <c r="R310" i="3"/>
  <c r="R147" i="3"/>
  <c r="R402" i="3"/>
  <c r="R110" i="3"/>
  <c r="R17" i="3"/>
  <c r="R358" i="3"/>
  <c r="R352" i="3"/>
  <c r="R840" i="3"/>
  <c r="R1001" i="3"/>
  <c r="R980" i="3"/>
  <c r="R892" i="3"/>
  <c r="R834" i="3"/>
  <c r="R685" i="3"/>
  <c r="R1034" i="3"/>
  <c r="R551" i="3"/>
  <c r="R388" i="3"/>
  <c r="R1179" i="3"/>
  <c r="R663" i="3"/>
  <c r="R151" i="3"/>
  <c r="R318" i="3"/>
  <c r="R333" i="3"/>
  <c r="R500" i="3"/>
  <c r="R674" i="3"/>
  <c r="R846" i="3"/>
  <c r="R1100" i="3"/>
  <c r="R861" i="3"/>
  <c r="R474" i="3"/>
  <c r="R142" i="3"/>
  <c r="R948" i="3"/>
  <c r="R467" i="3"/>
  <c r="R322" i="3"/>
  <c r="R166" i="3"/>
  <c r="R384" i="3"/>
  <c r="R449" i="3"/>
  <c r="R627" i="3"/>
  <c r="R336" i="3"/>
  <c r="R1197" i="3"/>
  <c r="R867" i="3"/>
  <c r="R1128" i="3"/>
  <c r="R162" i="3"/>
  <c r="R813" i="3"/>
  <c r="R759" i="3"/>
  <c r="R1016" i="3"/>
  <c r="R646" i="3"/>
  <c r="R955" i="3"/>
  <c r="R39" i="3"/>
  <c r="R555" i="3"/>
  <c r="R901" i="3"/>
  <c r="R54" i="3"/>
  <c r="R66" i="3"/>
  <c r="R366" i="3"/>
  <c r="R1195" i="3"/>
  <c r="R1153" i="3"/>
  <c r="R869" i="3"/>
  <c r="R843" i="3"/>
  <c r="R838" i="3"/>
  <c r="R1198" i="3"/>
  <c r="R1129" i="3"/>
  <c r="R996" i="3"/>
  <c r="R1022" i="3"/>
  <c r="R1142" i="3"/>
  <c r="R1089" i="3"/>
  <c r="R873" i="3"/>
  <c r="R918" i="3"/>
  <c r="R833" i="3"/>
  <c r="R1200" i="3"/>
  <c r="R1150" i="3"/>
  <c r="R296" i="3"/>
  <c r="R945" i="3"/>
  <c r="R841" i="3"/>
  <c r="R951" i="3"/>
  <c r="R299" i="3"/>
  <c r="R547" i="3"/>
  <c r="R1166" i="3"/>
  <c r="R913" i="3"/>
  <c r="R757" i="3"/>
  <c r="R1196" i="3"/>
  <c r="R1028" i="3"/>
  <c r="R672" i="3"/>
  <c r="R313" i="3"/>
  <c r="R758" i="3"/>
  <c r="R750" i="3"/>
  <c r="R845" i="3"/>
  <c r="R1033" i="3"/>
  <c r="R820" i="3"/>
  <c r="R683" i="3"/>
  <c r="R562" i="3"/>
  <c r="R675" i="3"/>
  <c r="R954" i="3"/>
  <c r="R1127" i="3"/>
  <c r="R297" i="3"/>
  <c r="R638" i="3"/>
  <c r="R475" i="3"/>
  <c r="R818" i="3"/>
  <c r="R991" i="3"/>
  <c r="R673" i="3"/>
  <c r="R335" i="3"/>
  <c r="R502" i="3"/>
  <c r="R517" i="3"/>
  <c r="R684" i="3"/>
  <c r="R172" i="3"/>
  <c r="R1130" i="3"/>
  <c r="R480" i="3"/>
  <c r="R791" i="3"/>
  <c r="R473" i="3"/>
  <c r="R647" i="3"/>
  <c r="R135" i="3"/>
  <c r="R302" i="3"/>
  <c r="R317" i="3"/>
  <c r="R484" i="3"/>
  <c r="R651" i="3"/>
  <c r="R139" i="3"/>
  <c r="R866" i="3"/>
  <c r="R1039" i="3"/>
  <c r="R114" i="3"/>
  <c r="R209" i="3"/>
  <c r="R383" i="3"/>
  <c r="R550" i="3"/>
  <c r="R53" i="3"/>
  <c r="R220" i="3"/>
  <c r="R387" i="3"/>
  <c r="R1178" i="3"/>
  <c r="R626" i="3"/>
  <c r="R839" i="3"/>
  <c r="R521" i="3"/>
  <c r="R16" i="3"/>
  <c r="R183" i="3"/>
  <c r="R350" i="3"/>
  <c r="R365" i="3"/>
  <c r="R532" i="3"/>
  <c r="R20" i="3"/>
  <c r="R187" i="3"/>
  <c r="R978" i="3"/>
  <c r="R1151" i="3"/>
  <c r="R554" i="3"/>
  <c r="R321" i="3"/>
  <c r="R495" i="3"/>
  <c r="R662" i="3"/>
  <c r="R150" i="3"/>
  <c r="R165" i="3"/>
  <c r="R332" i="3"/>
  <c r="R499" i="3"/>
  <c r="R989" i="3"/>
  <c r="R1086" i="3"/>
  <c r="R766" i="3"/>
  <c r="R997" i="3"/>
  <c r="R801" i="3"/>
  <c r="R713" i="3"/>
  <c r="R43" i="3"/>
  <c r="R1133" i="3"/>
  <c r="R964" i="3"/>
  <c r="R57" i="3"/>
  <c r="R1025" i="3"/>
  <c r="R717" i="3"/>
  <c r="R905" i="3"/>
  <c r="R756" i="3"/>
  <c r="R1079" i="3"/>
  <c r="R590" i="3"/>
  <c r="R427" i="3"/>
  <c r="R1071" i="3"/>
  <c r="R419" i="3"/>
  <c r="R890" i="3"/>
  <c r="R1063" i="3"/>
  <c r="R574" i="3"/>
  <c r="R411" i="3"/>
  <c r="R754" i="3"/>
  <c r="R927" i="3"/>
  <c r="R97" i="3"/>
  <c r="R271" i="3"/>
  <c r="R453" i="3"/>
  <c r="R620" i="3"/>
  <c r="R108" i="3"/>
  <c r="R275" i="3"/>
  <c r="R1066" i="3"/>
  <c r="R224" i="3"/>
  <c r="R727" i="3"/>
  <c r="R409" i="3"/>
  <c r="R583" i="3"/>
  <c r="R71" i="3"/>
  <c r="R253" i="3"/>
  <c r="R420" i="3"/>
  <c r="R75" i="3"/>
  <c r="R802" i="3"/>
  <c r="R975" i="3"/>
  <c r="R657" i="3"/>
  <c r="R145" i="3"/>
  <c r="R319" i="3"/>
  <c r="R501" i="3"/>
  <c r="R668" i="3"/>
  <c r="R156" i="3"/>
  <c r="R323" i="3"/>
  <c r="R1114" i="3"/>
  <c r="R416" i="3"/>
  <c r="R775" i="3"/>
  <c r="R457" i="3"/>
  <c r="R631" i="3"/>
  <c r="R119" i="3"/>
  <c r="R286" i="3"/>
  <c r="R301" i="3"/>
  <c r="R468" i="3"/>
  <c r="R635" i="3"/>
  <c r="R123" i="3"/>
  <c r="R914" i="3"/>
  <c r="R1087" i="3"/>
  <c r="R306" i="3"/>
  <c r="R257" i="3"/>
  <c r="R431" i="3"/>
  <c r="R598" i="3"/>
  <c r="R86" i="3"/>
  <c r="R101" i="3"/>
  <c r="R268" i="3"/>
  <c r="R435" i="3"/>
  <c r="R1164" i="3"/>
  <c r="R893" i="3"/>
  <c r="R107" i="3"/>
  <c r="R734" i="3"/>
  <c r="R741" i="3"/>
  <c r="R933" i="3"/>
  <c r="R633" i="3"/>
  <c r="R910" i="3"/>
  <c r="R1005" i="3"/>
  <c r="R1189" i="3"/>
  <c r="R952" i="3"/>
  <c r="R900" i="3"/>
  <c r="R970" i="3"/>
  <c r="R865" i="3"/>
  <c r="R1210" i="3"/>
  <c r="R777" i="3"/>
  <c r="R692" i="3"/>
  <c r="R823" i="3"/>
  <c r="R171" i="3"/>
  <c r="R815" i="3"/>
  <c r="R163" i="3"/>
  <c r="R826" i="3"/>
  <c r="R999" i="3"/>
  <c r="R681" i="3"/>
  <c r="R169" i="3"/>
  <c r="R347" i="3"/>
  <c r="R98" i="3"/>
  <c r="R690" i="3"/>
  <c r="R863" i="3"/>
  <c r="R545" i="3"/>
  <c r="R33" i="3"/>
  <c r="R207" i="3"/>
  <c r="R389" i="3"/>
  <c r="R556" i="3"/>
  <c r="R44" i="3"/>
  <c r="R211" i="3"/>
  <c r="R1002" i="3"/>
  <c r="R1175" i="3"/>
  <c r="R618" i="3"/>
  <c r="R345" i="3"/>
  <c r="R519" i="3"/>
  <c r="R686" i="3"/>
  <c r="R189" i="3"/>
  <c r="R356" i="3"/>
  <c r="R523" i="3"/>
  <c r="R290" i="3"/>
  <c r="R738" i="3"/>
  <c r="R911" i="3"/>
  <c r="R593" i="3"/>
  <c r="R81" i="3"/>
  <c r="R255" i="3"/>
  <c r="R437" i="3"/>
  <c r="R604" i="3"/>
  <c r="R92" i="3"/>
  <c r="R259" i="3"/>
  <c r="R1050" i="3"/>
  <c r="R160" i="3"/>
  <c r="R711" i="3"/>
  <c r="R393" i="3"/>
  <c r="R567" i="3"/>
  <c r="R55" i="3"/>
  <c r="R222" i="3"/>
  <c r="R237" i="3"/>
  <c r="R404" i="3"/>
  <c r="R571" i="3"/>
  <c r="R59" i="3"/>
  <c r="R850" i="3"/>
  <c r="R1023" i="3"/>
  <c r="R50" i="3"/>
  <c r="R193" i="3"/>
  <c r="R367" i="3"/>
  <c r="R534" i="3"/>
  <c r="R22" i="3"/>
  <c r="R37" i="3"/>
  <c r="R204" i="3"/>
  <c r="R371" i="3"/>
  <c r="R1060" i="3"/>
  <c r="R1199" i="3"/>
  <c r="R1036" i="3"/>
  <c r="R1098" i="3"/>
  <c r="R1193" i="3"/>
  <c r="R1046" i="3"/>
  <c r="R1124" i="3"/>
  <c r="R944" i="3"/>
  <c r="R1191" i="3"/>
  <c r="R1057" i="3"/>
  <c r="R1212" i="3"/>
  <c r="R377" i="3"/>
  <c r="R360" i="3"/>
  <c r="R625" i="3"/>
  <c r="R782" i="3"/>
  <c r="R877" i="3"/>
  <c r="R1065" i="3"/>
  <c r="R836" i="3"/>
  <c r="R714" i="3"/>
  <c r="R1136" i="3"/>
  <c r="R737" i="3"/>
  <c r="R1061" i="3"/>
  <c r="R581" i="3"/>
  <c r="R1140" i="3"/>
  <c r="R78" i="3"/>
  <c r="R488" i="3"/>
  <c r="R762" i="3"/>
  <c r="R935" i="3"/>
  <c r="R617" i="3"/>
  <c r="R105" i="3"/>
  <c r="R283" i="3"/>
  <c r="R1138" i="3"/>
  <c r="R799" i="3"/>
  <c r="R655" i="3"/>
  <c r="R143" i="3"/>
  <c r="R325" i="3"/>
  <c r="R492" i="3"/>
  <c r="R659" i="3"/>
  <c r="R938" i="3"/>
  <c r="R1111" i="3"/>
  <c r="R281" i="3"/>
  <c r="R455" i="3"/>
  <c r="R622" i="3"/>
  <c r="R125" i="3"/>
  <c r="R292" i="3"/>
  <c r="R459" i="3"/>
  <c r="R34" i="3"/>
  <c r="R648" i="3"/>
  <c r="R847" i="3"/>
  <c r="R529" i="3"/>
  <c r="R191" i="3"/>
  <c r="R373" i="3"/>
  <c r="R540" i="3"/>
  <c r="R28" i="3"/>
  <c r="R195" i="3"/>
  <c r="R986" i="3"/>
  <c r="R1159" i="3"/>
  <c r="R576" i="3"/>
  <c r="R329" i="3"/>
  <c r="R503" i="3"/>
  <c r="R670" i="3"/>
  <c r="R158" i="3"/>
  <c r="R173" i="3"/>
  <c r="R340" i="3"/>
  <c r="R507" i="3"/>
  <c r="R482" i="3"/>
  <c r="R786" i="3"/>
  <c r="R959" i="3"/>
  <c r="R641" i="3"/>
  <c r="R129" i="3"/>
  <c r="R303" i="3"/>
  <c r="R470" i="3"/>
  <c r="R485" i="3"/>
  <c r="R652" i="3"/>
  <c r="R140" i="3"/>
  <c r="R307" i="3"/>
  <c r="R1121" i="3"/>
  <c r="R889" i="3"/>
  <c r="R1208" i="3"/>
  <c r="R990" i="3"/>
  <c r="R926" i="3"/>
  <c r="R870" i="3"/>
  <c r="R957" i="3"/>
  <c r="R1126" i="3"/>
  <c r="R857" i="3"/>
  <c r="R932" i="3"/>
  <c r="R1017" i="3"/>
  <c r="R1020" i="3"/>
  <c r="R1090" i="3"/>
  <c r="R1070" i="3"/>
  <c r="R1165" i="3"/>
  <c r="R104" i="3"/>
  <c r="R369" i="3"/>
  <c r="R1073" i="3"/>
  <c r="R749" i="3"/>
  <c r="R937" i="3"/>
  <c r="R696" i="3"/>
  <c r="R772" i="3"/>
  <c r="R1143" i="3"/>
  <c r="R654" i="3"/>
  <c r="R491" i="3"/>
  <c r="R1008" i="3"/>
  <c r="R442" i="3"/>
  <c r="R1185" i="3"/>
  <c r="R853" i="3"/>
  <c r="R1076" i="3"/>
  <c r="R505" i="3"/>
  <c r="R232" i="3"/>
  <c r="R497" i="3"/>
  <c r="R698" i="3"/>
  <c r="R871" i="3"/>
  <c r="R553" i="3"/>
  <c r="R41" i="3"/>
  <c r="R219" i="3"/>
  <c r="R1074" i="3"/>
  <c r="R735" i="3"/>
  <c r="R591" i="3"/>
  <c r="R79" i="3"/>
  <c r="R261" i="3"/>
  <c r="R428" i="3"/>
  <c r="R595" i="3"/>
  <c r="R874" i="3"/>
  <c r="R1047" i="3"/>
  <c r="R146" i="3"/>
  <c r="R217" i="3"/>
  <c r="R391" i="3"/>
  <c r="R558" i="3"/>
  <c r="R61" i="3"/>
  <c r="R228" i="3"/>
  <c r="R395" i="3"/>
  <c r="R1122" i="3"/>
  <c r="R783" i="3"/>
  <c r="R465" i="3"/>
  <c r="R639" i="3"/>
  <c r="R127" i="3"/>
  <c r="R294" i="3"/>
  <c r="R309" i="3"/>
  <c r="R476" i="3"/>
  <c r="R643" i="3"/>
  <c r="R131" i="3"/>
  <c r="R922" i="3"/>
  <c r="R1095" i="3"/>
  <c r="R338" i="3"/>
  <c r="R265" i="3"/>
  <c r="R439" i="3"/>
  <c r="R94" i="3"/>
  <c r="R109" i="3"/>
  <c r="R276" i="3"/>
  <c r="R443" i="3"/>
  <c r="R226" i="3"/>
  <c r="R722" i="3"/>
  <c r="R895" i="3"/>
  <c r="R577" i="3"/>
  <c r="R65" i="3"/>
  <c r="R239" i="3"/>
  <c r="R406" i="3"/>
  <c r="R421" i="3"/>
  <c r="R588" i="3"/>
  <c r="R76" i="3"/>
  <c r="R243" i="3"/>
  <c r="R993" i="3"/>
  <c r="R1117" i="3"/>
  <c r="R798" i="3"/>
  <c r="R963" i="3"/>
  <c r="R804" i="3"/>
  <c r="R966" i="3"/>
  <c r="R961" i="3"/>
  <c r="R1069" i="3"/>
  <c r="R828" i="3"/>
  <c r="R689" i="3"/>
  <c r="R1209" i="3"/>
  <c r="R186" i="3"/>
  <c r="R942" i="3"/>
  <c r="R1037" i="3"/>
  <c r="R1205" i="3"/>
  <c r="R897" i="3"/>
  <c r="R809" i="3"/>
  <c r="R708" i="3"/>
  <c r="R887" i="3"/>
  <c r="R235" i="3"/>
  <c r="R880" i="3"/>
  <c r="R1134" i="3"/>
  <c r="R1206" i="3"/>
  <c r="R725" i="3"/>
  <c r="R1012" i="3"/>
  <c r="R249" i="3"/>
  <c r="R608" i="3"/>
  <c r="R241" i="3"/>
  <c r="R1146" i="3"/>
  <c r="R807" i="3"/>
  <c r="R489" i="3"/>
  <c r="R667" i="3"/>
  <c r="R155" i="3"/>
  <c r="R1010" i="3"/>
  <c r="R1183" i="3"/>
  <c r="R353" i="3"/>
  <c r="R527" i="3"/>
  <c r="R15" i="3"/>
  <c r="R182" i="3"/>
  <c r="R197" i="3"/>
  <c r="R364" i="3"/>
  <c r="R531" i="3"/>
  <c r="R19" i="3"/>
  <c r="R810" i="3"/>
  <c r="R983" i="3"/>
  <c r="R665" i="3"/>
  <c r="R153" i="3"/>
  <c r="R327" i="3"/>
  <c r="R494" i="3"/>
  <c r="R509" i="3"/>
  <c r="R676" i="3"/>
  <c r="R164" i="3"/>
  <c r="R331" i="3"/>
  <c r="R1058" i="3"/>
  <c r="R192" i="3"/>
  <c r="R719" i="3"/>
  <c r="R401" i="3"/>
  <c r="R575" i="3"/>
  <c r="R63" i="3"/>
  <c r="R245" i="3"/>
  <c r="R412" i="3"/>
  <c r="R579" i="3"/>
  <c r="R67" i="3"/>
  <c r="R858" i="3"/>
  <c r="R1031" i="3"/>
  <c r="R82" i="3"/>
  <c r="R201" i="3"/>
  <c r="R375" i="3"/>
  <c r="R542" i="3"/>
  <c r="R30" i="3"/>
  <c r="R45" i="3"/>
  <c r="R212" i="3"/>
  <c r="R379" i="3"/>
  <c r="R1170" i="3"/>
  <c r="R605" i="3"/>
  <c r="R831" i="3"/>
  <c r="R513" i="3"/>
  <c r="R687" i="3"/>
  <c r="R175" i="3"/>
  <c r="R342" i="3"/>
  <c r="R357" i="3"/>
  <c r="R524" i="3"/>
  <c r="R179" i="3"/>
  <c r="R929" i="3"/>
  <c r="R1053" i="3"/>
  <c r="R822" i="3"/>
  <c r="R814" i="3"/>
  <c r="R909" i="3"/>
  <c r="R1097" i="3"/>
  <c r="R769" i="3"/>
  <c r="R1156" i="3"/>
  <c r="R1014" i="3"/>
  <c r="R752" i="3"/>
  <c r="R1101" i="3"/>
  <c r="R1154" i="3"/>
  <c r="R1082" i="3"/>
  <c r="R288" i="3"/>
  <c r="R743" i="3"/>
  <c r="R425" i="3"/>
  <c r="R603" i="3"/>
  <c r="R91" i="3"/>
  <c r="R946" i="3"/>
  <c r="R1119" i="3"/>
  <c r="R434" i="3"/>
  <c r="R289" i="3"/>
  <c r="R463" i="3"/>
  <c r="R630" i="3"/>
  <c r="R133" i="3"/>
  <c r="R300" i="3"/>
  <c r="R746" i="3"/>
  <c r="R919" i="3"/>
  <c r="R601" i="3"/>
  <c r="R89" i="3"/>
  <c r="R263" i="3"/>
  <c r="R445" i="3"/>
  <c r="R612" i="3"/>
  <c r="R100" i="3"/>
  <c r="R267" i="3"/>
  <c r="R994" i="3"/>
  <c r="R1167" i="3"/>
  <c r="R337" i="3"/>
  <c r="R511" i="3"/>
  <c r="R678" i="3"/>
  <c r="R181" i="3"/>
  <c r="R348" i="3"/>
  <c r="R794" i="3"/>
  <c r="R967" i="3"/>
  <c r="R137" i="3"/>
  <c r="R311" i="3"/>
  <c r="R478" i="3"/>
  <c r="R493" i="3"/>
  <c r="R660" i="3"/>
  <c r="R148" i="3"/>
  <c r="R315" i="3"/>
  <c r="R1106" i="3"/>
  <c r="R767" i="3"/>
  <c r="R623" i="3"/>
  <c r="R111" i="3"/>
  <c r="R278" i="3"/>
  <c r="R293" i="3"/>
  <c r="R460" i="3"/>
  <c r="R115" i="3"/>
  <c r="R835" i="3"/>
  <c r="R707" i="3"/>
  <c r="R1203" i="3"/>
  <c r="R702" i="3"/>
  <c r="R1182" i="3"/>
  <c r="R774" i="3"/>
  <c r="R705" i="3"/>
  <c r="R829" i="3"/>
  <c r="R1188" i="3"/>
  <c r="R716" i="3"/>
  <c r="R694" i="3"/>
  <c r="R781" i="3"/>
  <c r="R969" i="3"/>
  <c r="R96" i="3"/>
  <c r="R770" i="3"/>
  <c r="R1092" i="3"/>
  <c r="R569" i="3"/>
  <c r="R886" i="3"/>
  <c r="R878" i="3"/>
  <c r="R973" i="3"/>
  <c r="R1161" i="3"/>
  <c r="R884" i="3"/>
  <c r="R906" i="3"/>
  <c r="R898" i="3"/>
  <c r="R1018" i="3"/>
  <c r="R32" i="3"/>
  <c r="R361" i="3"/>
  <c r="R539" i="3"/>
  <c r="R27" i="3"/>
  <c r="R882" i="3"/>
  <c r="R1055" i="3"/>
  <c r="R178" i="3"/>
  <c r="R225" i="3"/>
  <c r="R399" i="3"/>
  <c r="R566" i="3"/>
  <c r="R69" i="3"/>
  <c r="R236" i="3"/>
  <c r="R669" i="3"/>
  <c r="R855" i="3"/>
  <c r="R537" i="3"/>
  <c r="R25" i="3"/>
  <c r="R199" i="3"/>
  <c r="R381" i="3"/>
  <c r="R548" i="3"/>
  <c r="R36" i="3"/>
  <c r="R203" i="3"/>
  <c r="R930" i="3"/>
  <c r="R1103" i="3"/>
  <c r="R370" i="3"/>
  <c r="R273" i="3"/>
  <c r="R447" i="3"/>
  <c r="R614" i="3"/>
  <c r="R102" i="3"/>
  <c r="R117" i="3"/>
  <c r="R284" i="3"/>
  <c r="R451" i="3"/>
  <c r="R258" i="3"/>
  <c r="R730" i="3"/>
  <c r="R903" i="3"/>
  <c r="R585" i="3"/>
  <c r="R73" i="3"/>
  <c r="R247" i="3"/>
  <c r="R414" i="3"/>
  <c r="R429" i="3"/>
  <c r="R596" i="3"/>
  <c r="R84" i="3"/>
  <c r="R251" i="3"/>
  <c r="R1042" i="3"/>
  <c r="R128" i="3"/>
  <c r="R703" i="3"/>
  <c r="R385" i="3"/>
  <c r="R559" i="3"/>
  <c r="R47" i="3"/>
  <c r="R214" i="3"/>
  <c r="R229" i="3"/>
  <c r="R396" i="3"/>
  <c r="R563" i="3"/>
  <c r="R51" i="3"/>
  <c r="S13" i="3" a="1"/>
  <c r="S204" i="3" l="1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T798" i="3" s="1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T864" i="3" s="1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T501" i="3" s="1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X13" i="3" a="1"/>
  <c r="U13" i="3" a="1"/>
  <c r="T1133" i="3" l="1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Y417" i="3" s="1"/>
  <c r="Z418" i="3" s="1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Y1213" i="3" s="1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Y113" i="3" s="1"/>
  <c r="Z114" i="3" s="1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1021" i="3" l="1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W16" i="3" s="1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U10" i="3" l="1"/>
  <c r="X10" i="3"/>
  <c r="W733" i="3"/>
  <c r="Z733" i="3"/>
  <c r="W734" i="3"/>
</calcChain>
</file>

<file path=xl/sharedStrings.xml><?xml version="1.0" encoding="utf-8"?>
<sst xmlns="http://schemas.openxmlformats.org/spreadsheetml/2006/main" count="48" uniqueCount="40">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</sst>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19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14" xfId="0" applyFont="1" applyBorder="1">
      <alignment vertic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</cellXfs>
  <cellStyles count="8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1214"/>
  <sheetViews>
    <sheetView tabSelected="1" zoomScale="70" zoomScaleNormal="70" workbookViewId="0"/>
  </sheetViews>
  <sheetFormatPr defaultRowHeight="16.5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1" bestFit="1" customWidth="1"/>
    <col min="11" max="11" width="10.25" style="41" customWidth="1"/>
    <col min="12" max="12" width="11.75" style="41" customWidth="1"/>
    <col min="13" max="13" width="11.625" style="41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6" width="15.75" customWidth="1"/>
    <col min="27" max="27" width="10.25" customWidth="1"/>
    <col min="30" max="30" width="9.5" bestFit="1" customWidth="1"/>
  </cols>
  <sheetData>
    <row r="1" spans="1:29" ht="16.899999999999999" customHeight="1">
      <c r="A1" s="35"/>
      <c r="B1" t="s">
        <v>18</v>
      </c>
      <c r="D1" s="85" t="s">
        <v>30</v>
      </c>
      <c r="E1" s="86"/>
      <c r="F1" s="86"/>
      <c r="G1" s="86"/>
      <c r="H1" s="86"/>
      <c r="J1" s="51" t="s">
        <v>38</v>
      </c>
      <c r="K1" s="51"/>
      <c r="L1" s="51"/>
      <c r="M1" s="51"/>
      <c r="O1" s="52" t="s">
        <v>12</v>
      </c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9" ht="13.9" customHeight="1">
      <c r="E2" s="1"/>
      <c r="N2" s="38"/>
    </row>
    <row r="3" spans="1:29" ht="17.45" customHeight="1">
      <c r="D3" s="14"/>
      <c r="E3" s="87" t="s">
        <v>9</v>
      </c>
      <c r="F3" s="90"/>
      <c r="G3" s="90"/>
      <c r="H3" s="57"/>
      <c r="J3" s="48"/>
      <c r="K3" s="68" t="s">
        <v>39</v>
      </c>
      <c r="L3" s="68"/>
      <c r="M3" s="68"/>
      <c r="N3" s="39"/>
      <c r="O3" s="54"/>
      <c r="P3" s="54"/>
      <c r="Q3" s="94" t="s">
        <v>24</v>
      </c>
      <c r="R3" s="95"/>
      <c r="S3" s="87" t="s">
        <v>19</v>
      </c>
      <c r="T3" s="57"/>
      <c r="U3" s="57" t="s">
        <v>20</v>
      </c>
      <c r="V3" s="58"/>
      <c r="W3" s="58"/>
      <c r="X3" s="57" t="s">
        <v>27</v>
      </c>
      <c r="Y3" s="58"/>
      <c r="Z3" s="58"/>
    </row>
    <row r="4" spans="1:29" s="1" customFormat="1" ht="13.9" customHeight="1">
      <c r="D4" s="4" t="s">
        <v>0</v>
      </c>
      <c r="E4" s="91">
        <v>45961</v>
      </c>
      <c r="F4" s="92"/>
      <c r="G4" s="92"/>
      <c r="H4" s="93"/>
      <c r="I4" s="3"/>
      <c r="J4" s="49" t="s">
        <v>31</v>
      </c>
      <c r="K4" s="69">
        <f>E4</f>
        <v>45961</v>
      </c>
      <c r="L4" s="70"/>
      <c r="M4" s="71"/>
      <c r="N4" s="40"/>
      <c r="O4" s="55" t="s">
        <v>0</v>
      </c>
      <c r="P4" s="55"/>
      <c r="Q4" s="88">
        <f>E4</f>
        <v>45961</v>
      </c>
      <c r="R4" s="60"/>
      <c r="S4" s="88">
        <f>E4</f>
        <v>45961</v>
      </c>
      <c r="T4" s="60"/>
      <c r="U4" s="59">
        <f>E4</f>
        <v>45961</v>
      </c>
      <c r="V4" s="59"/>
      <c r="W4" s="60"/>
      <c r="X4" s="59">
        <f>E4</f>
        <v>45961</v>
      </c>
      <c r="Y4" s="59"/>
      <c r="Z4" s="60"/>
      <c r="AC4" s="37"/>
    </row>
    <row r="5" spans="1:29" s="1" customFormat="1" ht="13.9" customHeight="1">
      <c r="D5" s="5" t="s">
        <v>6</v>
      </c>
      <c r="E5" s="63">
        <v>0.1</v>
      </c>
      <c r="F5" s="64"/>
      <c r="G5" s="64"/>
      <c r="H5" s="65"/>
      <c r="I5" s="3"/>
      <c r="J5" s="49" t="s">
        <v>32</v>
      </c>
      <c r="K5" s="66">
        <v>0.1</v>
      </c>
      <c r="L5" s="66"/>
      <c r="M5" s="67"/>
      <c r="N5" s="40"/>
      <c r="O5" s="55" t="s">
        <v>2</v>
      </c>
      <c r="P5" s="55"/>
      <c r="Q5" s="96" t="s">
        <v>26</v>
      </c>
      <c r="R5" s="97"/>
      <c r="S5" s="89">
        <v>23</v>
      </c>
      <c r="T5" s="61"/>
      <c r="U5" s="61">
        <v>23</v>
      </c>
      <c r="V5" s="62"/>
      <c r="W5" s="62"/>
      <c r="X5" s="61">
        <v>23</v>
      </c>
      <c r="Y5" s="62"/>
      <c r="Z5" s="62"/>
      <c r="AC5" s="37"/>
    </row>
    <row r="6" spans="1:29" ht="13.9" customHeight="1">
      <c r="D6" s="5" t="s">
        <v>7</v>
      </c>
      <c r="E6" s="63">
        <v>2</v>
      </c>
      <c r="F6" s="64"/>
      <c r="G6" s="64"/>
      <c r="H6" s="65"/>
      <c r="J6" s="49" t="s">
        <v>33</v>
      </c>
      <c r="K6" s="66">
        <v>2</v>
      </c>
      <c r="L6" s="66"/>
      <c r="M6" s="67"/>
      <c r="N6" s="38"/>
      <c r="O6" s="56" t="s">
        <v>3</v>
      </c>
      <c r="P6" s="56"/>
      <c r="Q6" s="98"/>
      <c r="R6" s="99"/>
      <c r="S6" s="89">
        <v>60</v>
      </c>
      <c r="T6" s="61"/>
      <c r="U6" s="61">
        <v>60</v>
      </c>
      <c r="V6" s="62"/>
      <c r="W6" s="62"/>
      <c r="X6" s="61">
        <v>60</v>
      </c>
      <c r="Y6" s="62"/>
      <c r="Z6" s="62"/>
      <c r="AC6" s="37"/>
    </row>
    <row r="7" spans="1:29" ht="13.9" customHeight="1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9" t="s">
        <v>34</v>
      </c>
      <c r="K7" s="49" t="s">
        <v>35</v>
      </c>
      <c r="L7" s="49" t="s">
        <v>36</v>
      </c>
      <c r="M7" s="49" t="s">
        <v>37</v>
      </c>
      <c r="N7" s="38"/>
      <c r="O7" s="56" t="s">
        <v>4</v>
      </c>
      <c r="P7" s="56"/>
      <c r="Q7" s="98"/>
      <c r="R7" s="99"/>
      <c r="S7" s="82">
        <v>4.2999999999999997E-2</v>
      </c>
      <c r="T7" s="74"/>
      <c r="U7" s="74">
        <f>S7</f>
        <v>4.2999999999999997E-2</v>
      </c>
      <c r="V7" s="75"/>
      <c r="W7" s="75"/>
      <c r="X7" s="74">
        <f>S7</f>
        <v>4.2999999999999997E-2</v>
      </c>
      <c r="Y7" s="75"/>
      <c r="Z7" s="75"/>
      <c r="AC7" s="37"/>
    </row>
    <row r="8" spans="1:29" ht="13.9" customHeight="1">
      <c r="D8" s="7">
        <v>0.25</v>
      </c>
      <c r="E8" s="34">
        <v>2.4299999999999999E-2</v>
      </c>
      <c r="F8" s="19">
        <f t="array" ref="F8:F23">SmithWilsonYTM(E23,E5,D8:D23,E8:E23,E6,D8:D23)</f>
        <v>2.4226486330127965E-2</v>
      </c>
      <c r="G8" s="19">
        <f>LN(EXP(F8)+$V$11)</f>
        <v>2.8502255864507938E-2</v>
      </c>
      <c r="H8" s="19">
        <f>LN(EXP(F8)+$Y$11)</f>
        <v>2.7646617821191006E-2</v>
      </c>
      <c r="J8" s="42">
        <v>0.25</v>
      </c>
      <c r="K8" s="50">
        <f t="array" ref="K8:K24">SmithWilsonYTM(E23,E5,D8:D23,E8:E23,E6,J8:J24)</f>
        <v>2.4226486330127965E-2</v>
      </c>
      <c r="L8" s="50">
        <f>LN(EXP(K8)+$V$11)</f>
        <v>2.8502255864507938E-2</v>
      </c>
      <c r="M8" s="50">
        <f>LN(EXP(K8)+$Y$11)</f>
        <v>2.7646617821191006E-2</v>
      </c>
      <c r="N8" s="38"/>
      <c r="O8" s="56" t="s">
        <v>1</v>
      </c>
      <c r="P8" s="56"/>
      <c r="Q8" s="98"/>
      <c r="R8" s="99"/>
      <c r="S8" s="102">
        <v>1</v>
      </c>
      <c r="T8" s="76"/>
      <c r="U8" s="76">
        <v>1</v>
      </c>
      <c r="V8" s="77"/>
      <c r="W8" s="77"/>
      <c r="X8" s="76">
        <v>1</v>
      </c>
      <c r="Y8" s="77"/>
      <c r="Z8" s="77"/>
      <c r="AC8" s="37"/>
    </row>
    <row r="9" spans="1:29" ht="13.9" customHeight="1">
      <c r="D9" s="8">
        <v>0.5</v>
      </c>
      <c r="E9" s="9">
        <v>2.409E-2</v>
      </c>
      <c r="F9" s="19">
        <v>2.3946072559672071E-2</v>
      </c>
      <c r="G9" s="19">
        <f t="shared" ref="G9:G23" si="0">LN(EXP(F9)+$V$11)</f>
        <v>2.8223038686113908E-2</v>
      </c>
      <c r="H9" s="19">
        <f t="shared" ref="H9:H23" si="1">LN(EXP(F9)+$Y$11)</f>
        <v>2.7367161598318215E-2</v>
      </c>
      <c r="J9" s="42">
        <v>0.5</v>
      </c>
      <c r="K9" s="50">
        <v>2.3946072559672071E-2</v>
      </c>
      <c r="L9" s="50">
        <f>LN(EXP(K9)+$V$11)</f>
        <v>2.8223038686113908E-2</v>
      </c>
      <c r="M9" s="50">
        <f t="shared" ref="M9:M24" si="2">LN(EXP(K9)+$Y$11)</f>
        <v>2.7367161598318215E-2</v>
      </c>
      <c r="O9" s="83" t="s">
        <v>11</v>
      </c>
      <c r="P9" s="84"/>
      <c r="Q9" s="98"/>
      <c r="R9" s="99"/>
      <c r="S9" s="103">
        <f>SmithWilson_ALPHA_UB_LB(S7,J8:J22,K8:K22,S6,S8*0.0001)</f>
        <v>0.12928650007365</v>
      </c>
      <c r="T9" s="78"/>
      <c r="U9" s="78">
        <f>SmithWilson_ALPHA_UB_LB(U7,$J8:$J22,$L8:$L22,U6,U8*0.0001)</f>
        <v>0.12050877944186689</v>
      </c>
      <c r="V9" s="79"/>
      <c r="W9" s="79"/>
      <c r="X9" s="78">
        <f>SmithWilson_ALPHA_UB_LB(X7,$J8:$J22,$M8:$M22,X6,X8*0.0001)</f>
        <v>0.12255077993517016</v>
      </c>
      <c r="Y9" s="79"/>
      <c r="Z9" s="79"/>
      <c r="AC9" s="37"/>
    </row>
    <row r="10" spans="1:29" ht="13.9" customHeight="1">
      <c r="D10" s="8">
        <v>0.75</v>
      </c>
      <c r="E10" s="9">
        <v>2.4479999999999998E-2</v>
      </c>
      <c r="F10" s="19">
        <v>2.4258716834590324E-2</v>
      </c>
      <c r="G10" s="19">
        <f t="shared" si="0"/>
        <v>2.853434885517073E-2</v>
      </c>
      <c r="H10" s="19">
        <f t="shared" si="1"/>
        <v>2.7678738283147594E-2</v>
      </c>
      <c r="J10" s="42">
        <v>0.75</v>
      </c>
      <c r="K10" s="50">
        <v>2.4258716834590324E-2</v>
      </c>
      <c r="L10" s="50">
        <f t="shared" ref="L10:L24" si="3">LN(EXP(K10)+$V$11)</f>
        <v>2.853434885517073E-2</v>
      </c>
      <c r="M10" s="50">
        <f t="shared" si="2"/>
        <v>2.7678738283147594E-2</v>
      </c>
      <c r="O10" s="83" t="s">
        <v>21</v>
      </c>
      <c r="P10" s="84"/>
      <c r="Q10" s="98"/>
      <c r="R10" s="99"/>
      <c r="S10" s="105" t="str">
        <f>IF(ROUND(ABS((VLOOKUP($S$6*12-1,$P$13:$T$1213,5,0)+VLOOKUP($S$6*12,$P$13:$T$1213,5,0))/2-$S$7),4)&lt;=0.0001,"PASS","FAIL")</f>
        <v>PASS</v>
      </c>
      <c r="T10" s="106"/>
      <c r="U10" s="80" t="str">
        <f>IF(ROUND(ABS((VLOOKUP($U$6*12-1,$P$13:$V$1213,7,0)+VLOOKUP($U$6*12,$P$13:$V$1213,7,0))/2-$U$7),4)&lt;=0.0001,"PASS","FAIL")</f>
        <v>PASS</v>
      </c>
      <c r="V10" s="80"/>
      <c r="W10" s="81"/>
      <c r="X10" s="80" t="str">
        <f>IF(ROUND(ABS((VLOOKUP($X$6*12-1,$P$13:$Y$1213,10,0)+VLOOKUP($X$6*12,$P$13:$Y$1213,10,0))/2-$X$7),4)&lt;=0.0001,"PASS","FAIL")</f>
        <v>PASS</v>
      </c>
      <c r="Y10" s="80"/>
      <c r="Z10" s="81"/>
      <c r="AC10" s="37"/>
    </row>
    <row r="11" spans="1:29" ht="13.9" customHeight="1">
      <c r="D11" s="8">
        <v>1</v>
      </c>
      <c r="E11" s="9">
        <v>2.4459999999999999E-2</v>
      </c>
      <c r="F11" s="19">
        <v>2.431387116446096E-2</v>
      </c>
      <c r="G11" s="19">
        <f t="shared" si="0"/>
        <v>2.8589267875305132E-2</v>
      </c>
      <c r="H11" s="19">
        <f t="shared" si="1"/>
        <v>2.7733704311392292E-2</v>
      </c>
      <c r="J11" s="42">
        <v>1</v>
      </c>
      <c r="K11" s="50">
        <v>2.431387116446096E-2</v>
      </c>
      <c r="L11" s="50">
        <f t="shared" si="3"/>
        <v>2.8589267875305132E-2</v>
      </c>
      <c r="M11" s="50">
        <f t="shared" si="2"/>
        <v>2.7733704311392292E-2</v>
      </c>
      <c r="O11" s="83" t="s">
        <v>22</v>
      </c>
      <c r="P11" s="84"/>
      <c r="Q11" s="100"/>
      <c r="R11" s="101"/>
      <c r="S11" s="104">
        <v>0</v>
      </c>
      <c r="T11" s="65"/>
      <c r="U11" s="15" t="s">
        <v>23</v>
      </c>
      <c r="V11" s="72">
        <v>4.3899999999999998E-3</v>
      </c>
      <c r="W11" s="73"/>
      <c r="X11" s="32" t="s">
        <v>28</v>
      </c>
      <c r="Y11" s="72">
        <v>3.5100000000000001E-3</v>
      </c>
      <c r="Z11" s="73"/>
      <c r="AC11" s="37"/>
    </row>
    <row r="12" spans="1:29" ht="13.9" customHeight="1">
      <c r="D12" s="8">
        <v>1.5</v>
      </c>
      <c r="E12" s="9">
        <v>2.5899999999999999E-2</v>
      </c>
      <c r="F12" s="19">
        <v>2.5753818703050036E-2</v>
      </c>
      <c r="G12" s="19">
        <f t="shared" si="0"/>
        <v>3.0023076610583566E-2</v>
      </c>
      <c r="H12" s="19">
        <f t="shared" si="1"/>
        <v>2.9168739405953117E-2</v>
      </c>
      <c r="J12" s="42">
        <v>1.5</v>
      </c>
      <c r="K12" s="50">
        <v>2.5753818703050036E-2</v>
      </c>
      <c r="L12" s="50">
        <f t="shared" si="3"/>
        <v>3.0023076610583566E-2</v>
      </c>
      <c r="M12" s="50">
        <f t="shared" si="2"/>
        <v>2.9168739405953117E-2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 t="s">
        <v>25</v>
      </c>
      <c r="X12" s="32" t="s">
        <v>13</v>
      </c>
      <c r="Y12" s="6" t="s">
        <v>5</v>
      </c>
      <c r="Z12" s="17" t="s">
        <v>25</v>
      </c>
      <c r="AC12" s="37"/>
    </row>
    <row r="13" spans="1:29" ht="13.9" customHeight="1">
      <c r="D13" s="8">
        <v>2</v>
      </c>
      <c r="E13" s="9">
        <v>2.632E-2</v>
      </c>
      <c r="F13" s="19">
        <v>2.6171896581437176E-2</v>
      </c>
      <c r="G13" s="19">
        <f t="shared" si="0"/>
        <v>3.0439373782004928E-2</v>
      </c>
      <c r="H13" s="19">
        <f t="shared" si="1"/>
        <v>2.958539231339111E-2</v>
      </c>
      <c r="J13" s="42">
        <v>2</v>
      </c>
      <c r="K13" s="50">
        <v>2.6171896581437176E-2</v>
      </c>
      <c r="L13" s="50">
        <f t="shared" si="3"/>
        <v>3.0439373782004928E-2</v>
      </c>
      <c r="M13" s="50">
        <f t="shared" si="2"/>
        <v>2.958539231339111E-2</v>
      </c>
      <c r="O13" s="12">
        <v>0</v>
      </c>
      <c r="P13" s="13">
        <v>0</v>
      </c>
      <c r="Q13" s="31">
        <f t="array" ref="Q13:Q1214">Cont2Discrete(SmithWilsonYTM(E23,E5,D8:D23,E8:E23,E6,O13:O1214))</f>
        <v>2.4788940355803923E-2</v>
      </c>
      <c r="R13" s="30">
        <f>Q14</f>
        <v>2.4759636302058796E-2</v>
      </c>
      <c r="S13" s="22">
        <f t="array" ref="S13:S1214">Cont2Discrete(SmithWilson(S7,S9,J8:J22,K8:K22,O13:O1214))</f>
        <v>2.4768410761881965E-2</v>
      </c>
      <c r="T13" s="23">
        <f>S14</f>
        <v>2.4749824677660959E-2</v>
      </c>
      <c r="U13" s="24">
        <f t="array" ref="U13:U1214">Cont2Discrete(SmithWilson(U7,U9,J8:J22,L8:L22,O13:O1214))</f>
        <v>2.9167675106933411E-2</v>
      </c>
      <c r="V13" s="25">
        <f>U14</f>
        <v>2.9144327655537206E-2</v>
      </c>
      <c r="W13" s="26"/>
      <c r="X13" s="24">
        <f t="array" ref="X13:X1214">Cont2Discrete(SmithWilson(X7,X9,J8:J22,M8:M22,O13:O1214))</f>
        <v>2.8286030954849606E-2</v>
      </c>
      <c r="Y13" s="25">
        <f>X14</f>
        <v>2.826353201499332E-2</v>
      </c>
      <c r="Z13" s="26"/>
      <c r="AA13" s="36"/>
      <c r="AC13" s="37"/>
    </row>
    <row r="14" spans="1:29" ht="13.9" customHeight="1">
      <c r="D14" s="8">
        <v>2.5</v>
      </c>
      <c r="E14" s="9">
        <v>2.6689999999999998E-2</v>
      </c>
      <c r="F14" s="19">
        <v>2.654250126820757E-2</v>
      </c>
      <c r="G14" s="19">
        <f t="shared" si="0"/>
        <v>3.0808400582695721E-2</v>
      </c>
      <c r="H14" s="19">
        <f t="shared" si="1"/>
        <v>2.9954734332516868E-2</v>
      </c>
      <c r="J14" s="42">
        <v>2.5</v>
      </c>
      <c r="K14" s="50">
        <v>2.654250126820757E-2</v>
      </c>
      <c r="L14" s="50">
        <f t="shared" si="3"/>
        <v>3.0808400582695721E-2</v>
      </c>
      <c r="M14" s="50">
        <f t="shared" si="2"/>
        <v>2.9954734332516868E-2</v>
      </c>
      <c r="O14" s="12">
        <f t="shared" ref="O14:O77" si="4">P14/12</f>
        <v>8.3333333333333329E-2</v>
      </c>
      <c r="P14" s="13">
        <v>1</v>
      </c>
      <c r="Q14" s="22">
        <v>2.4759636302058796E-2</v>
      </c>
      <c r="R14" s="19">
        <f t="shared" ref="R14:R77" si="5">(1+Q15)^P15/(1+Q14)^P14-1</f>
        <v>2.458185987069883E-2</v>
      </c>
      <c r="S14" s="22">
        <v>2.4749824677660959E-2</v>
      </c>
      <c r="T14" s="19">
        <f t="shared" ref="T14:T77" si="6">(1+S15)^P15/(1+S14)^P14-1</f>
        <v>2.4585583150995793E-2</v>
      </c>
      <c r="U14" s="24">
        <v>2.9144327655537206E-2</v>
      </c>
      <c r="V14" s="24">
        <f t="shared" ref="V14:V77" si="7">(1+U15)^P15/(1+U14)^P14-1</f>
        <v>2.8973958333585736E-2</v>
      </c>
      <c r="W14" s="23">
        <f>(1+V13)^(1/12)-1</f>
        <v>2.3968434416903328E-3</v>
      </c>
      <c r="X14" s="24">
        <v>2.826353201499332E-2</v>
      </c>
      <c r="Y14" s="24">
        <f>(1+X15)^P15/(1+X14)^P14-1</f>
        <v>2.8094249128478355E-2</v>
      </c>
      <c r="Z14" s="23">
        <f>(1+Y13)^(1/12)-1</f>
        <v>2.3253234039930515E-3</v>
      </c>
      <c r="AA14" s="36"/>
      <c r="AC14" s="37"/>
    </row>
    <row r="15" spans="1:29" ht="13.9" customHeight="1">
      <c r="D15" s="8">
        <v>3</v>
      </c>
      <c r="E15" s="9">
        <v>2.7119999999999998E-2</v>
      </c>
      <c r="F15" s="19">
        <v>2.6977025568158369E-2</v>
      </c>
      <c r="G15" s="19">
        <f t="shared" si="0"/>
        <v>3.1241075593930741E-2</v>
      </c>
      <c r="H15" s="19">
        <f t="shared" si="1"/>
        <v>3.038777878150899E-2</v>
      </c>
      <c r="J15" s="42">
        <v>3</v>
      </c>
      <c r="K15" s="50">
        <v>2.6977025568158369E-2</v>
      </c>
      <c r="L15" s="50">
        <f t="shared" si="3"/>
        <v>3.1241075593930741E-2</v>
      </c>
      <c r="M15" s="50">
        <f t="shared" si="2"/>
        <v>3.038777878150899E-2</v>
      </c>
      <c r="O15" s="12">
        <f t="shared" si="4"/>
        <v>0.16666666666666666</v>
      </c>
      <c r="P15" s="13">
        <v>2</v>
      </c>
      <c r="Q15" s="22">
        <v>2.4670744230937958E-2</v>
      </c>
      <c r="R15" s="19">
        <f t="shared" si="5"/>
        <v>2.4225571778846655E-2</v>
      </c>
      <c r="S15" s="22">
        <v>2.4667700623593358E-2</v>
      </c>
      <c r="T15" s="19">
        <f t="shared" si="6"/>
        <v>2.4231656376115351E-2</v>
      </c>
      <c r="U15" s="24">
        <v>2.9059139468803785E-2</v>
      </c>
      <c r="V15" s="24">
        <f>(1+U16)^P16/(1+U15)^P15-1</f>
        <v>2.8618779647058279E-2</v>
      </c>
      <c r="W15" s="23">
        <f>(1+V14)^(1/12)-1</f>
        <v>2.3830139407303719E-3</v>
      </c>
      <c r="X15" s="24">
        <v>2.817888708782168E-2</v>
      </c>
      <c r="Y15" s="24">
        <f t="shared" ref="Y15:Y78" si="8">(1+X16)^P16/(1+X15)^P15-1</f>
        <v>2.773928424692218E-2</v>
      </c>
      <c r="Z15" s="23">
        <f t="shared" ref="Z15:Z78" si="9">(1+Y14)^(1/12)-1</f>
        <v>2.3115713093988521E-3</v>
      </c>
      <c r="AA15" s="36"/>
      <c r="AC15" s="37"/>
    </row>
    <row r="16" spans="1:29" ht="13.9" customHeight="1">
      <c r="D16" s="8">
        <v>4</v>
      </c>
      <c r="E16" s="9">
        <v>2.8129999999999999E-2</v>
      </c>
      <c r="F16" s="19">
        <v>2.8008067650975195E-2</v>
      </c>
      <c r="G16" s="19">
        <f t="shared" si="0"/>
        <v>3.2267732872914935E-2</v>
      </c>
      <c r="H16" s="19">
        <f t="shared" si="1"/>
        <v>3.1415312027625826E-2</v>
      </c>
      <c r="J16" s="42">
        <v>4</v>
      </c>
      <c r="K16" s="50">
        <v>2.8008067650975195E-2</v>
      </c>
      <c r="L16" s="50">
        <f t="shared" si="3"/>
        <v>3.2267732872914935E-2</v>
      </c>
      <c r="M16" s="50">
        <f t="shared" si="2"/>
        <v>3.1415312027625826E-2</v>
      </c>
      <c r="O16" s="12">
        <f t="shared" si="4"/>
        <v>0.25</v>
      </c>
      <c r="P16" s="13">
        <v>3</v>
      </c>
      <c r="Q16" s="22">
        <v>2.4522331918717333E-2</v>
      </c>
      <c r="R16" s="19">
        <f t="shared" si="5"/>
        <v>2.3805515832107771E-2</v>
      </c>
      <c r="S16" s="22">
        <v>2.4522331918745754E-2</v>
      </c>
      <c r="T16" s="19">
        <f t="shared" si="6"/>
        <v>2.3806405085324611E-2</v>
      </c>
      <c r="U16" s="24">
        <v>2.891233191870457E-2</v>
      </c>
      <c r="V16" s="24">
        <f t="shared" si="7"/>
        <v>2.8195728039413837E-2</v>
      </c>
      <c r="W16" s="23">
        <f t="shared" ref="W16:W78" si="10">(1+V15)^(1/12)-1</f>
        <v>2.3541760372647325E-3</v>
      </c>
      <c r="X16" s="24">
        <v>2.8032331918747211E-2</v>
      </c>
      <c r="Y16" s="24">
        <f t="shared" si="8"/>
        <v>2.7315835708079605E-2</v>
      </c>
      <c r="Z16" s="23">
        <f t="shared" si="9"/>
        <v>2.2827281591812909E-3</v>
      </c>
      <c r="AA16" s="36"/>
      <c r="AC16" s="37"/>
    </row>
    <row r="17" spans="4:30" ht="13.9" customHeight="1">
      <c r="D17" s="8">
        <v>5</v>
      </c>
      <c r="E17" s="9">
        <v>2.8549999999999999E-2</v>
      </c>
      <c r="F17" s="19">
        <v>2.8433106417538427E-2</v>
      </c>
      <c r="G17" s="19">
        <f t="shared" si="0"/>
        <v>3.2690965349534584E-2</v>
      </c>
      <c r="H17" s="19">
        <f t="shared" si="1"/>
        <v>3.183890535380738E-2</v>
      </c>
      <c r="J17" s="42">
        <v>5</v>
      </c>
      <c r="K17" s="50">
        <v>2.8433106417538427E-2</v>
      </c>
      <c r="L17" s="50">
        <f t="shared" si="3"/>
        <v>3.2690965349534584E-2</v>
      </c>
      <c r="M17" s="50">
        <f t="shared" si="2"/>
        <v>3.183890535380738E-2</v>
      </c>
      <c r="O17" s="12">
        <f t="shared" si="4"/>
        <v>0.33333333333333331</v>
      </c>
      <c r="P17" s="13">
        <v>4</v>
      </c>
      <c r="Q17" s="22">
        <v>2.434308085973802E-2</v>
      </c>
      <c r="R17" s="19">
        <f t="shared" si="5"/>
        <v>2.3778894701673936E-2</v>
      </c>
      <c r="S17" s="22">
        <v>2.4343303289720231E-2</v>
      </c>
      <c r="T17" s="19">
        <f t="shared" si="6"/>
        <v>2.3777677157448274E-2</v>
      </c>
      <c r="U17" s="24">
        <v>2.8733134140060734E-2</v>
      </c>
      <c r="V17" s="24">
        <f t="shared" si="7"/>
        <v>2.8168176702576764E-2</v>
      </c>
      <c r="W17" s="23">
        <f t="shared" si="10"/>
        <v>2.3198154372690016E-3</v>
      </c>
      <c r="X17" s="24">
        <v>2.7853161031254015E-2</v>
      </c>
      <c r="Y17" s="24">
        <f t="shared" si="8"/>
        <v>2.7288085816580931E-2</v>
      </c>
      <c r="Z17" s="23">
        <f t="shared" si="9"/>
        <v>2.2483083301561013E-3</v>
      </c>
      <c r="AA17" s="36"/>
      <c r="AC17" s="37"/>
    </row>
    <row r="18" spans="4:30" ht="13.9" customHeight="1">
      <c r="D18" s="8">
        <v>7</v>
      </c>
      <c r="E18" s="9">
        <v>2.9989999999999999E-2</v>
      </c>
      <c r="F18" s="19">
        <v>2.9947788134457819E-2</v>
      </c>
      <c r="G18" s="19">
        <f t="shared" si="0"/>
        <v>3.419921632681578E-2</v>
      </c>
      <c r="H18" s="19">
        <f t="shared" si="1"/>
        <v>3.334844102917222E-2</v>
      </c>
      <c r="J18" s="42">
        <v>7</v>
      </c>
      <c r="K18" s="50">
        <v>2.9947788134457819E-2</v>
      </c>
      <c r="L18" s="50">
        <f t="shared" si="3"/>
        <v>3.419921632681578E-2</v>
      </c>
      <c r="M18" s="50">
        <f t="shared" si="2"/>
        <v>3.334844102917222E-2</v>
      </c>
      <c r="O18" s="12">
        <f t="shared" si="4"/>
        <v>0.41666666666666669</v>
      </c>
      <c r="P18" s="13">
        <v>5</v>
      </c>
      <c r="Q18" s="22">
        <v>2.4230218760577849E-2</v>
      </c>
      <c r="R18" s="19">
        <f t="shared" si="5"/>
        <v>2.425939869350735E-2</v>
      </c>
      <c r="S18" s="22">
        <v>2.4230153068601767E-2</v>
      </c>
      <c r="T18" s="19">
        <f t="shared" si="6"/>
        <v>2.4259727162985412E-2</v>
      </c>
      <c r="U18" s="24">
        <v>2.8620117823413782E-2</v>
      </c>
      <c r="V18" s="24">
        <f t="shared" si="7"/>
        <v>2.8649903392241827E-2</v>
      </c>
      <c r="W18" s="23">
        <f t="shared" si="10"/>
        <v>2.3175772455461541E-3</v>
      </c>
      <c r="X18" s="24">
        <v>2.7740121127541428E-2</v>
      </c>
      <c r="Y18" s="24">
        <f t="shared" si="8"/>
        <v>2.7769886871681804E-2</v>
      </c>
      <c r="Z18" s="23">
        <f t="shared" si="9"/>
        <v>2.246052238343843E-3</v>
      </c>
      <c r="AA18" s="36"/>
      <c r="AC18" s="37"/>
    </row>
    <row r="19" spans="4:30" ht="13.9" customHeight="1">
      <c r="D19" s="8">
        <v>10</v>
      </c>
      <c r="E19" s="9">
        <v>3.058E-2</v>
      </c>
      <c r="F19" s="19">
        <v>3.0540440871789899E-2</v>
      </c>
      <c r="G19" s="19">
        <f t="shared" si="0"/>
        <v>3.4789355533742003E-2</v>
      </c>
      <c r="H19" s="19">
        <f t="shared" si="1"/>
        <v>3.393908237728803E-2</v>
      </c>
      <c r="J19" s="42">
        <v>10</v>
      </c>
      <c r="K19" s="50">
        <v>3.0540440871789899E-2</v>
      </c>
      <c r="L19" s="50">
        <f t="shared" si="3"/>
        <v>3.4789355533742003E-2</v>
      </c>
      <c r="M19" s="50">
        <f t="shared" si="2"/>
        <v>3.393908237728803E-2</v>
      </c>
      <c r="O19" s="12">
        <f t="shared" si="4"/>
        <v>0.5</v>
      </c>
      <c r="P19" s="13">
        <v>6</v>
      </c>
      <c r="Q19" s="22">
        <v>2.4235082025002797E-2</v>
      </c>
      <c r="R19" s="19">
        <f t="shared" si="5"/>
        <v>2.5056540944487393E-2</v>
      </c>
      <c r="S19" s="22">
        <v>2.4235082025032328E-2</v>
      </c>
      <c r="T19" s="19">
        <f t="shared" si="6"/>
        <v>2.5058819561528667E-2</v>
      </c>
      <c r="U19" s="24">
        <v>2.86250820249907E-2</v>
      </c>
      <c r="V19" s="24">
        <f t="shared" si="7"/>
        <v>2.9448239371830276E-2</v>
      </c>
      <c r="W19" s="23">
        <f t="shared" si="10"/>
        <v>2.3567034218783256E-3</v>
      </c>
      <c r="X19" s="24">
        <v>2.7745082025032231E-2</v>
      </c>
      <c r="Y19" s="24">
        <f t="shared" si="8"/>
        <v>2.856836286090747E-2</v>
      </c>
      <c r="Z19" s="23">
        <f t="shared" si="9"/>
        <v>2.2852151764065631E-3</v>
      </c>
      <c r="AA19" s="36"/>
      <c r="AC19" s="37"/>
    </row>
    <row r="20" spans="4:30" ht="13.9" customHeight="1">
      <c r="D20" s="8">
        <v>15</v>
      </c>
      <c r="E20" s="9">
        <v>3.1050000000000001E-2</v>
      </c>
      <c r="F20" s="19">
        <v>3.1021337078023067E-2</v>
      </c>
      <c r="G20" s="19">
        <f t="shared" si="0"/>
        <v>3.5268213275873962E-2</v>
      </c>
      <c r="H20" s="19">
        <f t="shared" si="1"/>
        <v>3.4418347354856868E-2</v>
      </c>
      <c r="J20" s="42">
        <v>15</v>
      </c>
      <c r="K20" s="50">
        <v>3.1021337078023067E-2</v>
      </c>
      <c r="L20" s="50">
        <f t="shared" si="3"/>
        <v>3.5268213275873962E-2</v>
      </c>
      <c r="M20" s="50">
        <f t="shared" si="2"/>
        <v>3.4418347354856868E-2</v>
      </c>
      <c r="O20" s="12">
        <f t="shared" si="4"/>
        <v>0.58333333333333337</v>
      </c>
      <c r="P20" s="13">
        <v>7</v>
      </c>
      <c r="Q20" s="22">
        <v>2.4352392982821547E-2</v>
      </c>
      <c r="R20" s="19">
        <f t="shared" si="5"/>
        <v>2.5408190356822846E-2</v>
      </c>
      <c r="S20" s="22">
        <v>2.4352718275648E-2</v>
      </c>
      <c r="T20" s="19">
        <f t="shared" si="6"/>
        <v>2.5408818281196455E-2</v>
      </c>
      <c r="U20" s="24">
        <v>2.8742635621133772E-2</v>
      </c>
      <c r="V20" s="24">
        <f t="shared" si="7"/>
        <v>2.9798591817912445E-2</v>
      </c>
      <c r="W20" s="23">
        <f t="shared" si="10"/>
        <v>2.4215078572458193E-3</v>
      </c>
      <c r="X20" s="24">
        <v>2.7862653215864563E-2</v>
      </c>
      <c r="Y20" s="24">
        <f t="shared" si="8"/>
        <v>2.891863475453138E-2</v>
      </c>
      <c r="Z20" s="23">
        <f t="shared" si="9"/>
        <v>2.3500818243549215E-3</v>
      </c>
      <c r="AA20" s="36"/>
    </row>
    <row r="21" spans="4:30" ht="13.9" customHeight="1">
      <c r="D21" s="8">
        <v>20</v>
      </c>
      <c r="E21" s="9">
        <v>3.075E-2</v>
      </c>
      <c r="F21" s="19">
        <v>3.0581169590614986E-2</v>
      </c>
      <c r="G21" s="19">
        <f t="shared" si="0"/>
        <v>3.482991157034148E-2</v>
      </c>
      <c r="H21" s="19">
        <f t="shared" si="1"/>
        <v>3.3979672911561065E-2</v>
      </c>
      <c r="J21" s="42">
        <v>20</v>
      </c>
      <c r="K21" s="50">
        <v>3.0581169590614986E-2</v>
      </c>
      <c r="L21" s="50">
        <f t="shared" si="3"/>
        <v>3.482991157034148E-2</v>
      </c>
      <c r="M21" s="50">
        <f t="shared" si="2"/>
        <v>3.3979672911561065E-2</v>
      </c>
      <c r="O21" s="12">
        <f t="shared" si="4"/>
        <v>0.66666666666666663</v>
      </c>
      <c r="P21" s="13">
        <v>8</v>
      </c>
      <c r="Q21" s="22">
        <v>2.4484308181524694E-2</v>
      </c>
      <c r="R21" s="19">
        <f t="shared" si="5"/>
        <v>2.5123891842779411E-2</v>
      </c>
      <c r="S21" s="22">
        <v>2.4484671269225045E-2</v>
      </c>
      <c r="T21" s="19">
        <f t="shared" si="6"/>
        <v>2.5120985332678369E-2</v>
      </c>
      <c r="U21" s="24">
        <v>2.8874570908515196E-2</v>
      </c>
      <c r="V21" s="24">
        <f t="shared" si="7"/>
        <v>2.9511787965585956E-2</v>
      </c>
      <c r="W21" s="23">
        <f t="shared" si="10"/>
        <v>2.4499329594669383E-3</v>
      </c>
      <c r="X21" s="24">
        <v>2.79945916174551E-2</v>
      </c>
      <c r="Y21" s="24">
        <f t="shared" si="8"/>
        <v>2.8631622341872331E-2</v>
      </c>
      <c r="Z21" s="23">
        <f t="shared" si="9"/>
        <v>2.378522672018768E-3</v>
      </c>
      <c r="AA21" s="36"/>
    </row>
    <row r="22" spans="4:30" ht="13.9" customHeight="1">
      <c r="D22" s="8">
        <v>30</v>
      </c>
      <c r="E22" s="9">
        <v>2.9899999999999999E-2</v>
      </c>
      <c r="F22" s="19">
        <v>2.9373711169788989E-2</v>
      </c>
      <c r="G22" s="19">
        <f t="shared" si="0"/>
        <v>3.3627575524604707E-2</v>
      </c>
      <c r="H22" s="19">
        <f t="shared" si="1"/>
        <v>3.2776313542937321E-2</v>
      </c>
      <c r="J22" s="47">
        <v>23</v>
      </c>
      <c r="K22" s="50">
        <v>3.0245106926217166E-2</v>
      </c>
      <c r="L22" s="50">
        <f t="shared" si="3"/>
        <v>3.4495273958940385E-2</v>
      </c>
      <c r="M22" s="50">
        <f t="shared" si="2"/>
        <v>3.3644750609664119E-2</v>
      </c>
      <c r="O22" s="12">
        <f t="shared" si="4"/>
        <v>0.75</v>
      </c>
      <c r="P22" s="13">
        <v>9</v>
      </c>
      <c r="Q22" s="22">
        <v>2.4555353322453399E-2</v>
      </c>
      <c r="R22" s="19">
        <f t="shared" si="5"/>
        <v>2.4465023541309971E-2</v>
      </c>
      <c r="S22" s="22">
        <v>2.4555353322482931E-2</v>
      </c>
      <c r="T22" s="19">
        <f t="shared" si="6"/>
        <v>2.4460456675083897E-2</v>
      </c>
      <c r="U22" s="24">
        <v>2.8945353322441747E-2</v>
      </c>
      <c r="V22" s="24">
        <f t="shared" si="7"/>
        <v>2.8851804399580017E-2</v>
      </c>
      <c r="W22" s="23">
        <f t="shared" si="10"/>
        <v>2.4266643958377188E-3</v>
      </c>
      <c r="X22" s="24">
        <v>2.8065353322482833E-2</v>
      </c>
      <c r="Y22" s="24">
        <f t="shared" si="8"/>
        <v>2.7971532588741077E-2</v>
      </c>
      <c r="Z22" s="23">
        <f t="shared" si="9"/>
        <v>2.3552189289048897E-3</v>
      </c>
      <c r="AA22" s="36"/>
    </row>
    <row r="23" spans="4:30" ht="13.9" customHeight="1">
      <c r="D23" s="8">
        <v>50</v>
      </c>
      <c r="E23" s="9">
        <v>2.8340000000000001E-2</v>
      </c>
      <c r="F23" s="19">
        <v>2.7046230201186329E-2</v>
      </c>
      <c r="G23" s="19">
        <f t="shared" si="0"/>
        <v>3.1309985773337295E-2</v>
      </c>
      <c r="H23" s="19">
        <f t="shared" si="1"/>
        <v>3.0456747784817863E-2</v>
      </c>
      <c r="J23" s="47">
        <v>30</v>
      </c>
      <c r="K23" s="50">
        <v>2.9373711169788989E-2</v>
      </c>
      <c r="L23" s="50">
        <f t="shared" si="3"/>
        <v>3.3627575524604707E-2</v>
      </c>
      <c r="M23" s="50">
        <f t="shared" si="2"/>
        <v>3.2776313542937321E-2</v>
      </c>
      <c r="O23" s="12">
        <f t="shared" si="4"/>
        <v>0.83333333333333337</v>
      </c>
      <c r="P23" s="13">
        <v>10</v>
      </c>
      <c r="Q23" s="22">
        <v>2.4546319985943033E-2</v>
      </c>
      <c r="R23" s="19">
        <f t="shared" si="5"/>
        <v>2.4472796960223642E-2</v>
      </c>
      <c r="S23" s="22">
        <v>2.4545863262190437E-2</v>
      </c>
      <c r="T23" s="19">
        <f t="shared" si="6"/>
        <v>2.4471994184410706E-2</v>
      </c>
      <c r="U23" s="24">
        <v>2.8935998047398881E-2</v>
      </c>
      <c r="V23" s="24">
        <f t="shared" si="7"/>
        <v>2.8862243902116003E-2</v>
      </c>
      <c r="W23" s="23">
        <f t="shared" si="10"/>
        <v>2.3730969670976432E-3</v>
      </c>
      <c r="X23" s="24">
        <v>2.8055970863794855E-2</v>
      </c>
      <c r="Y23" s="24">
        <f t="shared" si="8"/>
        <v>2.7982194399558402E-2</v>
      </c>
      <c r="Z23" s="23">
        <f t="shared" si="9"/>
        <v>2.30160084402109E-3</v>
      </c>
      <c r="AA23" s="36"/>
      <c r="AD23" s="33"/>
    </row>
    <row r="24" spans="4:30" ht="13.9" customHeight="1">
      <c r="D24" s="8"/>
      <c r="E24" s="9"/>
      <c r="F24" s="19"/>
      <c r="G24" s="19"/>
      <c r="H24" s="19"/>
      <c r="J24" s="47">
        <v>50</v>
      </c>
      <c r="K24" s="50">
        <v>2.7046230201186329E-2</v>
      </c>
      <c r="L24" s="50">
        <f t="shared" si="3"/>
        <v>3.1309985773337295E-2</v>
      </c>
      <c r="M24" s="50">
        <f t="shared" si="2"/>
        <v>3.0456747784817863E-2</v>
      </c>
      <c r="O24" s="12">
        <f t="shared" si="4"/>
        <v>0.91666666666666663</v>
      </c>
      <c r="P24" s="13">
        <v>11</v>
      </c>
      <c r="Q24" s="22">
        <v>2.4539635856482223E-2</v>
      </c>
      <c r="R24" s="19">
        <f t="shared" si="5"/>
        <v>2.5406704259254287E-2</v>
      </c>
      <c r="S24" s="22">
        <v>2.453914767139409E-2</v>
      </c>
      <c r="T24" s="19">
        <f t="shared" si="6"/>
        <v>2.5412078855610476E-2</v>
      </c>
      <c r="U24" s="24">
        <v>2.8929292906631821E-2</v>
      </c>
      <c r="V24" s="24">
        <f t="shared" si="7"/>
        <v>2.9800478459510504E-2</v>
      </c>
      <c r="W24" s="23">
        <f t="shared" si="10"/>
        <v>2.3739445322976671E-3</v>
      </c>
      <c r="X24" s="24">
        <v>2.8049263693712634E-2</v>
      </c>
      <c r="Y24" s="24">
        <f t="shared" si="8"/>
        <v>2.8920800363769983E-2</v>
      </c>
      <c r="Z24" s="23">
        <f t="shared" si="9"/>
        <v>2.3024671374050065E-3</v>
      </c>
      <c r="AA24" s="36"/>
    </row>
    <row r="25" spans="4:30" ht="13.9" customHeight="1">
      <c r="D25" s="8"/>
      <c r="E25" s="9"/>
      <c r="F25" s="19"/>
      <c r="G25" s="19"/>
      <c r="H25" s="19"/>
      <c r="J25" s="45"/>
      <c r="K25" s="45"/>
      <c r="L25" s="45"/>
      <c r="M25" s="45"/>
      <c r="O25" s="12">
        <f t="shared" si="4"/>
        <v>1</v>
      </c>
      <c r="P25" s="13">
        <v>12</v>
      </c>
      <c r="Q25" s="22">
        <v>2.4611863544758528E-2</v>
      </c>
      <c r="R25" s="19">
        <f t="shared" si="5"/>
        <v>2.7038177288306819E-2</v>
      </c>
      <c r="S25" s="22">
        <v>2.4611863544788282E-2</v>
      </c>
      <c r="T25" s="19">
        <f t="shared" si="6"/>
        <v>2.7047605159485677E-2</v>
      </c>
      <c r="U25" s="24">
        <v>2.9001863544747541E-2</v>
      </c>
      <c r="V25" s="24">
        <f t="shared" si="7"/>
        <v>3.1434769285897612E-2</v>
      </c>
      <c r="W25" s="23">
        <f t="shared" si="10"/>
        <v>2.4500860041312134E-3</v>
      </c>
      <c r="X25" s="24">
        <v>2.8121863544787518E-2</v>
      </c>
      <c r="Y25" s="24">
        <f t="shared" si="8"/>
        <v>3.0555338638876606E-2</v>
      </c>
      <c r="Z25" s="23">
        <f t="shared" si="9"/>
        <v>2.3786984842761871E-3</v>
      </c>
      <c r="AA25" s="36"/>
    </row>
    <row r="26" spans="4:30" ht="13.9" customHeight="1">
      <c r="D26" s="8"/>
      <c r="E26" s="9"/>
      <c r="F26" s="19"/>
      <c r="G26" s="19"/>
      <c r="H26" s="19"/>
      <c r="J26" s="45"/>
      <c r="K26" s="45"/>
      <c r="L26" s="45"/>
      <c r="M26" s="43"/>
      <c r="O26" s="12">
        <f t="shared" si="4"/>
        <v>1.0833333333333333</v>
      </c>
      <c r="P26" s="13">
        <v>13</v>
      </c>
      <c r="Q26" s="22">
        <v>2.4798299387202904E-2</v>
      </c>
      <c r="R26" s="19">
        <f t="shared" si="5"/>
        <v>2.8447553820970306E-2</v>
      </c>
      <c r="S26" s="22">
        <v>2.4799023023382771E-2</v>
      </c>
      <c r="T26" s="19">
        <f t="shared" si="6"/>
        <v>2.8455921603911971E-2</v>
      </c>
      <c r="U26" s="24">
        <v>2.9188806228883868E-2</v>
      </c>
      <c r="V26" s="24">
        <f t="shared" si="7"/>
        <v>3.2843384210780702E-2</v>
      </c>
      <c r="W26" s="23">
        <f t="shared" si="10"/>
        <v>2.5825634894616201E-3</v>
      </c>
      <c r="X26" s="24">
        <v>2.830884975557435E-2</v>
      </c>
      <c r="Y26" s="24">
        <f t="shared" si="8"/>
        <v>3.1963893285455791E-2</v>
      </c>
      <c r="Z26" s="23">
        <f t="shared" si="9"/>
        <v>2.5112997665781567E-3</v>
      </c>
      <c r="AA26" s="36"/>
    </row>
    <row r="27" spans="4:30" ht="13.9" customHeight="1">
      <c r="D27" s="8"/>
      <c r="E27" s="9"/>
      <c r="F27" s="19"/>
      <c r="G27" s="19"/>
      <c r="H27" s="19"/>
      <c r="J27" s="45"/>
      <c r="K27" s="45"/>
      <c r="L27" s="45"/>
      <c r="M27" s="43"/>
      <c r="O27" s="12">
        <f t="shared" si="4"/>
        <v>1.1666666666666667</v>
      </c>
      <c r="P27" s="13">
        <v>14</v>
      </c>
      <c r="Q27" s="22">
        <v>2.5058530451854244E-2</v>
      </c>
      <c r="R27" s="19">
        <f t="shared" si="5"/>
        <v>2.9403565268242726E-2</v>
      </c>
      <c r="S27" s="22">
        <v>2.5059798297685454E-2</v>
      </c>
      <c r="T27" s="19">
        <f t="shared" si="6"/>
        <v>2.9407201964080754E-2</v>
      </c>
      <c r="U27" s="24">
        <v>2.9449418128413729E-2</v>
      </c>
      <c r="V27" s="24">
        <f t="shared" si="7"/>
        <v>3.3796071407461881E-2</v>
      </c>
      <c r="W27" s="23">
        <f t="shared" si="10"/>
        <v>2.6965931233056128E-3</v>
      </c>
      <c r="X27" s="24">
        <v>2.8569494432558296E-2</v>
      </c>
      <c r="Y27" s="24">
        <f t="shared" si="8"/>
        <v>3.291629801166307E-2</v>
      </c>
      <c r="Z27" s="23">
        <f t="shared" si="9"/>
        <v>2.6254136548689022E-3</v>
      </c>
      <c r="AA27" s="36"/>
    </row>
    <row r="28" spans="4:30" ht="13.9" customHeight="1">
      <c r="D28" s="8"/>
      <c r="E28" s="9"/>
      <c r="F28" s="19"/>
      <c r="G28" s="19"/>
      <c r="H28" s="19"/>
      <c r="J28" s="45"/>
      <c r="K28" s="45"/>
      <c r="L28" s="45"/>
      <c r="M28" s="43"/>
      <c r="O28" s="12">
        <f t="shared" si="4"/>
        <v>1.25</v>
      </c>
      <c r="P28" s="13">
        <v>15</v>
      </c>
      <c r="Q28" s="22">
        <v>2.5347628001652689E-2</v>
      </c>
      <c r="R28" s="19">
        <f t="shared" si="5"/>
        <v>2.9905163639215138E-2</v>
      </c>
      <c r="S28" s="22">
        <v>2.5349053149123169E-2</v>
      </c>
      <c r="T28" s="19">
        <f t="shared" si="6"/>
        <v>2.9902586403433906E-2</v>
      </c>
      <c r="U28" s="24">
        <v>2.9738625583059841E-2</v>
      </c>
      <c r="V28" s="24">
        <f t="shared" si="7"/>
        <v>3.4293315825766113E-2</v>
      </c>
      <c r="W28" s="23">
        <f t="shared" si="10"/>
        <v>2.7736338934394311E-3</v>
      </c>
      <c r="X28" s="24">
        <v>2.8858711382031332E-2</v>
      </c>
      <c r="Y28" s="24">
        <f t="shared" si="8"/>
        <v>3.3413169249209895E-2</v>
      </c>
      <c r="Z28" s="23">
        <f t="shared" si="9"/>
        <v>2.7024917309250718E-3</v>
      </c>
      <c r="AA28" s="36"/>
    </row>
    <row r="29" spans="4:30" ht="13.9" customHeight="1">
      <c r="D29" s="8"/>
      <c r="E29" s="9"/>
      <c r="F29" s="19"/>
      <c r="G29" s="19"/>
      <c r="H29" s="19"/>
      <c r="J29" s="45"/>
      <c r="K29" s="45"/>
      <c r="L29" s="45"/>
      <c r="M29" s="43"/>
      <c r="O29" s="12">
        <f t="shared" si="4"/>
        <v>1.3333333333333333</v>
      </c>
      <c r="P29" s="13">
        <v>16</v>
      </c>
      <c r="Q29" s="22">
        <v>2.5631882191370803E-2</v>
      </c>
      <c r="R29" s="19">
        <f t="shared" si="5"/>
        <v>2.995160295194732E-2</v>
      </c>
      <c r="S29" s="22">
        <v>2.5633058228170746E-2</v>
      </c>
      <c r="T29" s="19">
        <f t="shared" si="6"/>
        <v>2.9943500940989187E-2</v>
      </c>
      <c r="U29" s="24">
        <v>3.0022705186425691E-2</v>
      </c>
      <c r="V29" s="24">
        <f t="shared" si="7"/>
        <v>3.4335893580323074E-2</v>
      </c>
      <c r="W29" s="23">
        <f t="shared" si="10"/>
        <v>2.8138186162494083E-3</v>
      </c>
      <c r="X29" s="24">
        <v>2.9142776020041339E-2</v>
      </c>
      <c r="Y29" s="24">
        <f t="shared" si="8"/>
        <v>3.3455413441661808E-2</v>
      </c>
      <c r="Z29" s="23">
        <f t="shared" si="9"/>
        <v>2.7426776442398548E-3</v>
      </c>
      <c r="AA29" s="36"/>
    </row>
    <row r="30" spans="4:30" ht="13.9" customHeight="1">
      <c r="D30" s="8"/>
      <c r="E30" s="9"/>
      <c r="F30" s="19"/>
      <c r="G30" s="19"/>
      <c r="H30" s="19"/>
      <c r="J30" s="45"/>
      <c r="K30" s="45"/>
      <c r="L30" s="45"/>
      <c r="M30" s="43"/>
      <c r="O30" s="12">
        <f t="shared" si="4"/>
        <v>1.4166666666666667</v>
      </c>
      <c r="P30" s="13">
        <v>17</v>
      </c>
      <c r="Q30" s="22">
        <v>2.5885481150419887E-2</v>
      </c>
      <c r="R30" s="19">
        <f t="shared" si="5"/>
        <v>2.9542607932029563E-2</v>
      </c>
      <c r="S30" s="22">
        <v>2.588611357259496E-2</v>
      </c>
      <c r="T30" s="19">
        <f t="shared" si="6"/>
        <v>2.9531818489116235E-2</v>
      </c>
      <c r="U30" s="24">
        <v>3.027592353330566E-2</v>
      </c>
      <c r="V30" s="24">
        <f t="shared" si="7"/>
        <v>3.3925034557414024E-2</v>
      </c>
      <c r="W30" s="23">
        <f t="shared" si="10"/>
        <v>2.8172587070498523E-3</v>
      </c>
      <c r="X30" s="24">
        <v>2.9395961658932102E-2</v>
      </c>
      <c r="Y30" s="24">
        <f t="shared" si="8"/>
        <v>3.304438933617182E-2</v>
      </c>
      <c r="Z30" s="23">
        <f t="shared" si="9"/>
        <v>2.7460934497700595E-3</v>
      </c>
      <c r="AA30" s="36"/>
    </row>
    <row r="31" spans="4:30" ht="13.9" customHeight="1">
      <c r="D31" s="8"/>
      <c r="E31" s="9"/>
      <c r="F31" s="19"/>
      <c r="G31" s="19"/>
      <c r="H31" s="19"/>
      <c r="J31" s="45"/>
      <c r="K31" s="45"/>
      <c r="L31" s="45"/>
      <c r="M31" s="43"/>
      <c r="O31" s="12">
        <f t="shared" si="4"/>
        <v>1.5</v>
      </c>
      <c r="P31" s="13">
        <v>18</v>
      </c>
      <c r="Q31" s="22">
        <v>2.6088313625897142E-2</v>
      </c>
      <c r="R31" s="19">
        <f t="shared" si="5"/>
        <v>2.8788017485444906E-2</v>
      </c>
      <c r="S31" s="22">
        <v>2.6088313625926007E-2</v>
      </c>
      <c r="T31" s="19">
        <f t="shared" si="6"/>
        <v>2.8778732229376214E-2</v>
      </c>
      <c r="U31" s="24">
        <v>3.0478313625886599E-2</v>
      </c>
      <c r="V31" s="24">
        <f t="shared" si="7"/>
        <v>3.3171521132516535E-2</v>
      </c>
      <c r="W31" s="23">
        <f t="shared" si="10"/>
        <v>2.7840577298114955E-3</v>
      </c>
      <c r="X31" s="24">
        <v>2.9598313625925465E-2</v>
      </c>
      <c r="Y31" s="24">
        <f t="shared" si="8"/>
        <v>3.2290961586445288E-2</v>
      </c>
      <c r="Z31" s="23">
        <f t="shared" si="9"/>
        <v>2.7128531860753924E-3</v>
      </c>
      <c r="AA31" s="36"/>
    </row>
    <row r="32" spans="4:30" ht="13.9" customHeight="1">
      <c r="D32" s="8"/>
      <c r="E32" s="9"/>
      <c r="F32" s="19"/>
      <c r="G32" s="19"/>
      <c r="H32" s="19"/>
      <c r="J32" s="45"/>
      <c r="K32" s="45"/>
      <c r="L32" s="45"/>
      <c r="M32" s="43"/>
      <c r="O32" s="12">
        <f t="shared" si="4"/>
        <v>1.5833333333333333</v>
      </c>
      <c r="P32" s="13">
        <v>19</v>
      </c>
      <c r="Q32" s="22">
        <v>2.6230226519145416E-2</v>
      </c>
      <c r="R32" s="19">
        <f t="shared" si="5"/>
        <v>2.8126130824250195E-2</v>
      </c>
      <c r="S32" s="22">
        <v>2.6229739034409727E-2</v>
      </c>
      <c r="T32" s="19">
        <f t="shared" si="6"/>
        <v>2.812056106745775E-2</v>
      </c>
      <c r="U32" s="24">
        <v>3.0619886203114177E-2</v>
      </c>
      <c r="V32" s="24">
        <f t="shared" si="7"/>
        <v>3.2512247750556611E-2</v>
      </c>
      <c r="W32" s="23">
        <f t="shared" si="10"/>
        <v>2.7231358594546062E-3</v>
      </c>
      <c r="X32" s="24">
        <v>2.9739856676666232E-2</v>
      </c>
      <c r="Y32" s="24">
        <f t="shared" si="8"/>
        <v>3.1631909326352181E-2</v>
      </c>
      <c r="Z32" s="23">
        <f t="shared" si="9"/>
        <v>2.6518906280983412E-3</v>
      </c>
      <c r="AA32" s="36"/>
    </row>
    <row r="33" spans="4:27" ht="13.9" customHeight="1">
      <c r="D33" s="8"/>
      <c r="E33" s="9"/>
      <c r="F33" s="19"/>
      <c r="G33" s="19"/>
      <c r="H33" s="19"/>
      <c r="J33" s="45"/>
      <c r="K33" s="45"/>
      <c r="L33" s="45"/>
      <c r="M33" s="43"/>
      <c r="O33" s="12">
        <f t="shared" si="4"/>
        <v>1.6666666666666667</v>
      </c>
      <c r="P33" s="13">
        <v>20</v>
      </c>
      <c r="Q33" s="22">
        <v>2.6324938647890761E-2</v>
      </c>
      <c r="R33" s="19">
        <f t="shared" si="5"/>
        <v>2.7666181941389478E-2</v>
      </c>
      <c r="S33" s="22">
        <v>2.6324197494103529E-2</v>
      </c>
      <c r="T33" s="19">
        <f t="shared" si="6"/>
        <v>2.7665049412382459E-2</v>
      </c>
      <c r="U33" s="24">
        <v>3.0714421856162799E-2</v>
      </c>
      <c r="V33" s="24">
        <f t="shared" si="7"/>
        <v>3.2055403974389884E-2</v>
      </c>
      <c r="W33" s="23">
        <f t="shared" si="10"/>
        <v>2.6697999194209565E-3</v>
      </c>
      <c r="X33" s="24">
        <v>2.9834376841383792E-2</v>
      </c>
      <c r="Y33" s="24">
        <f t="shared" si="8"/>
        <v>3.1175332820861934E-2</v>
      </c>
      <c r="Z33" s="23">
        <f t="shared" si="9"/>
        <v>2.5985308794704842E-3</v>
      </c>
      <c r="AA33" s="36"/>
    </row>
    <row r="34" spans="4:27" ht="13.9" customHeight="1">
      <c r="D34" s="8"/>
      <c r="E34" s="9"/>
      <c r="F34" s="19"/>
      <c r="G34" s="19"/>
      <c r="H34" s="19"/>
      <c r="J34" s="45"/>
      <c r="K34" s="45"/>
      <c r="L34" s="45"/>
      <c r="M34" s="43"/>
      <c r="O34" s="12">
        <f t="shared" si="4"/>
        <v>1.75</v>
      </c>
      <c r="P34" s="13">
        <v>21</v>
      </c>
      <c r="Q34" s="22">
        <v>2.6388767664085488E-2</v>
      </c>
      <c r="R34" s="19">
        <f t="shared" si="5"/>
        <v>2.740789392457299E-2</v>
      </c>
      <c r="S34" s="22">
        <v>2.6388007896517074E-2</v>
      </c>
      <c r="T34" s="19">
        <f t="shared" si="6"/>
        <v>2.741094999134619E-2</v>
      </c>
      <c r="U34" s="24">
        <v>3.0778238619809883E-2</v>
      </c>
      <c r="V34" s="24">
        <f t="shared" si="7"/>
        <v>3.1800036132208831E-2</v>
      </c>
      <c r="W34" s="23">
        <f t="shared" si="10"/>
        <v>2.6328224423028956E-3</v>
      </c>
      <c r="X34" s="24">
        <v>2.9898192328120299E-2</v>
      </c>
      <c r="Y34" s="24">
        <f t="shared" si="8"/>
        <v>3.0920219464711574E-2</v>
      </c>
      <c r="Z34" s="23">
        <f t="shared" si="9"/>
        <v>2.5615461264822947E-3</v>
      </c>
      <c r="AA34" s="36"/>
    </row>
    <row r="35" spans="4:27" ht="13.9" customHeight="1">
      <c r="D35" s="8"/>
      <c r="E35" s="9"/>
      <c r="F35" s="19"/>
      <c r="G35" s="19"/>
      <c r="H35" s="19"/>
      <c r="J35" s="45"/>
      <c r="K35" s="45"/>
      <c r="L35" s="45"/>
      <c r="M35" s="43"/>
      <c r="O35" s="12">
        <f t="shared" si="4"/>
        <v>1.8333333333333333</v>
      </c>
      <c r="P35" s="13">
        <v>22</v>
      </c>
      <c r="Q35" s="22">
        <v>2.6435069646503218E-2</v>
      </c>
      <c r="R35" s="19">
        <f t="shared" si="5"/>
        <v>2.7351063930068475E-2</v>
      </c>
      <c r="S35" s="22">
        <v>2.6434483161394517E-2</v>
      </c>
      <c r="T35" s="19">
        <f t="shared" si="6"/>
        <v>2.7357103868889343E-2</v>
      </c>
      <c r="U35" s="24">
        <v>3.0824662001501357E-2</v>
      </c>
      <c r="V35" s="24">
        <f t="shared" si="7"/>
        <v>3.1745273490757731E-2</v>
      </c>
      <c r="W35" s="23">
        <f t="shared" si="10"/>
        <v>2.612146128072812E-3</v>
      </c>
      <c r="X35" s="24">
        <v>2.9944626118646456E-2</v>
      </c>
      <c r="Y35" s="24">
        <f t="shared" si="8"/>
        <v>3.0865640711475573E-2</v>
      </c>
      <c r="Z35" s="23">
        <f t="shared" si="9"/>
        <v>2.5408742582495591E-3</v>
      </c>
      <c r="AA35" s="36"/>
    </row>
    <row r="36" spans="4:27" ht="13.9" customHeight="1">
      <c r="D36" s="8"/>
      <c r="E36" s="9"/>
      <c r="F36" s="19"/>
      <c r="G36" s="19"/>
      <c r="H36" s="19"/>
      <c r="J36" s="45"/>
      <c r="K36" s="45"/>
      <c r="L36" s="45"/>
      <c r="M36" s="43"/>
      <c r="O36" s="12">
        <f t="shared" si="4"/>
        <v>1.9166666666666667</v>
      </c>
      <c r="P36" s="13">
        <v>23</v>
      </c>
      <c r="Q36" s="22">
        <v>2.6474878497070087E-2</v>
      </c>
      <c r="R36" s="19">
        <f t="shared" si="5"/>
        <v>2.74955959174219E-2</v>
      </c>
      <c r="S36" s="22">
        <v>2.6474579870738646E-2</v>
      </c>
      <c r="T36" s="19">
        <f t="shared" si="6"/>
        <v>2.7502471177582644E-2</v>
      </c>
      <c r="U36" s="24">
        <v>3.0864671501529273E-2</v>
      </c>
      <c r="V36" s="24">
        <f t="shared" si="7"/>
        <v>3.1890359469681551E-2</v>
      </c>
      <c r="W36" s="23">
        <f t="shared" si="10"/>
        <v>2.6077115620044555E-3</v>
      </c>
      <c r="X36" s="24">
        <v>2.9984653115350701E-2</v>
      </c>
      <c r="Y36" s="24">
        <f t="shared" si="8"/>
        <v>3.1010783191556257E-2</v>
      </c>
      <c r="Z36" s="23">
        <f t="shared" si="9"/>
        <v>2.5364511259100553E-3</v>
      </c>
      <c r="AA36" s="36"/>
    </row>
    <row r="37" spans="4:27" ht="13.9" customHeight="1">
      <c r="D37" s="8"/>
      <c r="E37" s="9"/>
      <c r="F37" s="19"/>
      <c r="G37" s="19"/>
      <c r="H37" s="19"/>
      <c r="J37" s="45"/>
      <c r="K37" s="45"/>
      <c r="L37" s="45"/>
      <c r="M37" s="43"/>
      <c r="O37" s="12">
        <f t="shared" si="4"/>
        <v>2</v>
      </c>
      <c r="P37" s="13">
        <v>24</v>
      </c>
      <c r="Q37" s="22">
        <v>2.6517388138126874E-2</v>
      </c>
      <c r="R37" s="19">
        <f t="shared" si="5"/>
        <v>2.7800963873378715E-2</v>
      </c>
      <c r="S37" s="22">
        <v>2.6517388138154185E-2</v>
      </c>
      <c r="T37" s="19">
        <f t="shared" si="6"/>
        <v>2.7806183205616453E-2</v>
      </c>
      <c r="U37" s="24">
        <v>3.0907388138116332E-2</v>
      </c>
      <c r="V37" s="24">
        <f t="shared" si="7"/>
        <v>3.2194534019777343E-2</v>
      </c>
      <c r="W37" s="23">
        <f t="shared" si="10"/>
        <v>2.6194598547972792E-3</v>
      </c>
      <c r="X37" s="24">
        <v>3.0027388138154087E-2</v>
      </c>
      <c r="Y37" s="24">
        <f t="shared" si="8"/>
        <v>3.131486505290515E-2</v>
      </c>
      <c r="Z37" s="23">
        <f t="shared" si="9"/>
        <v>2.5482131855423251E-3</v>
      </c>
      <c r="AA37" s="36"/>
    </row>
    <row r="38" spans="4:27" ht="13.9" customHeight="1">
      <c r="D38" s="8"/>
      <c r="E38" s="9"/>
      <c r="F38" s="19"/>
      <c r="G38" s="19"/>
      <c r="H38" s="19"/>
      <c r="J38" s="45"/>
      <c r="K38" s="45"/>
      <c r="L38" s="45"/>
      <c r="M38" s="43"/>
      <c r="O38" s="12">
        <f t="shared" si="4"/>
        <v>2.0833333333333335</v>
      </c>
      <c r="P38" s="13">
        <v>25</v>
      </c>
      <c r="Q38" s="22">
        <v>2.6568700376571552E-2</v>
      </c>
      <c r="R38" s="19">
        <f t="shared" si="5"/>
        <v>2.8104987085014521E-2</v>
      </c>
      <c r="S38" s="22">
        <v>2.6568908899073929E-2</v>
      </c>
      <c r="T38" s="19">
        <f t="shared" si="6"/>
        <v>2.810787525832148E-2</v>
      </c>
      <c r="U38" s="24">
        <v>3.0958843142707471E-2</v>
      </c>
      <c r="V38" s="24">
        <f t="shared" si="7"/>
        <v>3.2496914606546801E-2</v>
      </c>
      <c r="W38" s="23">
        <f t="shared" si="10"/>
        <v>2.6440853818692212E-3</v>
      </c>
      <c r="X38" s="24">
        <v>3.0078856341882787E-2</v>
      </c>
      <c r="Y38" s="24">
        <f t="shared" si="8"/>
        <v>3.1617107432670766E-2</v>
      </c>
      <c r="Z38" s="23">
        <f t="shared" si="9"/>
        <v>2.5728504581188361E-3</v>
      </c>
      <c r="AA38" s="36"/>
    </row>
    <row r="39" spans="4:27" ht="13.9" customHeight="1">
      <c r="D39" s="8"/>
      <c r="E39" s="9"/>
      <c r="F39" s="19"/>
      <c r="G39" s="19"/>
      <c r="H39" s="19"/>
      <c r="J39" s="45"/>
      <c r="K39" s="45"/>
      <c r="L39" s="45"/>
      <c r="M39" s="43"/>
      <c r="O39" s="12">
        <f t="shared" si="4"/>
        <v>2.1666666666666665</v>
      </c>
      <c r="P39" s="13">
        <v>26</v>
      </c>
      <c r="Q39" s="22">
        <v>2.6627745855635654E-2</v>
      </c>
      <c r="R39" s="19">
        <f t="shared" si="5"/>
        <v>2.8367116896626632E-2</v>
      </c>
      <c r="S39" s="22">
        <v>2.6628057293422547E-2</v>
      </c>
      <c r="T39" s="19">
        <f t="shared" si="6"/>
        <v>2.8367702936063388E-2</v>
      </c>
      <c r="U39" s="24">
        <v>3.1017957348619785E-2</v>
      </c>
      <c r="V39" s="24">
        <f t="shared" si="7"/>
        <v>3.2757452835263212E-2</v>
      </c>
      <c r="W39" s="23">
        <f t="shared" si="10"/>
        <v>2.6685590798156689E-3</v>
      </c>
      <c r="X39" s="24">
        <v>3.0137977410441774E-2</v>
      </c>
      <c r="Y39" s="24">
        <f t="shared" si="8"/>
        <v>3.1877502929164248E-2</v>
      </c>
      <c r="Z39" s="23">
        <f t="shared" si="9"/>
        <v>2.5973320947811906E-3</v>
      </c>
      <c r="AA39" s="36"/>
    </row>
    <row r="40" spans="4:27" ht="13.9" customHeight="1">
      <c r="D40" s="8"/>
      <c r="E40" s="9"/>
      <c r="F40" s="19"/>
      <c r="G40" s="19"/>
      <c r="H40" s="19"/>
      <c r="J40" s="45"/>
      <c r="K40" s="45"/>
      <c r="L40" s="45"/>
      <c r="M40" s="43"/>
      <c r="O40" s="12">
        <f t="shared" si="4"/>
        <v>2.25</v>
      </c>
      <c r="P40" s="13">
        <v>27</v>
      </c>
      <c r="Q40" s="22">
        <v>2.6692114511723375E-2</v>
      </c>
      <c r="R40" s="19">
        <f t="shared" si="5"/>
        <v>2.8587357701780114E-2</v>
      </c>
      <c r="S40" s="22">
        <v>2.6692436103390893E-2</v>
      </c>
      <c r="T40" s="19">
        <f t="shared" si="6"/>
        <v>2.8585875799724159E-2</v>
      </c>
      <c r="U40" s="24">
        <v>3.1082330829608429E-2</v>
      </c>
      <c r="V40" s="24">
        <f t="shared" si="7"/>
        <v>3.2976297335086002E-2</v>
      </c>
      <c r="W40" s="23">
        <f t="shared" si="10"/>
        <v>2.6896409250820597E-3</v>
      </c>
      <c r="X40" s="24">
        <v>3.0202351957315576E-2</v>
      </c>
      <c r="Y40" s="24">
        <f t="shared" si="8"/>
        <v>3.2096212545139169E-2</v>
      </c>
      <c r="Z40" s="23">
        <f t="shared" si="9"/>
        <v>2.6184188615043791E-3</v>
      </c>
      <c r="AA40" s="36"/>
    </row>
    <row r="41" spans="4:27" ht="13.9" customHeight="1">
      <c r="D41" s="8"/>
      <c r="E41" s="9"/>
      <c r="F41" s="19"/>
      <c r="G41" s="19"/>
      <c r="H41" s="19"/>
      <c r="J41" s="45"/>
      <c r="K41" s="45"/>
      <c r="L41" s="45"/>
      <c r="M41" s="43"/>
      <c r="O41" s="12">
        <f t="shared" si="4"/>
        <v>2.3333333333333335</v>
      </c>
      <c r="P41" s="13">
        <v>28</v>
      </c>
      <c r="Q41" s="22">
        <v>2.6759741598117781E-2</v>
      </c>
      <c r="R41" s="19">
        <f t="shared" si="5"/>
        <v>2.8765707930958451E-2</v>
      </c>
      <c r="S41" s="22">
        <v>2.6759998893705506E-2</v>
      </c>
      <c r="T41" s="19">
        <f t="shared" si="6"/>
        <v>2.8762595140026548E-2</v>
      </c>
      <c r="U41" s="24">
        <v>3.1149912656659229E-2</v>
      </c>
      <c r="V41" s="24">
        <f t="shared" si="7"/>
        <v>3.3153589342384437E-2</v>
      </c>
      <c r="W41" s="23">
        <f t="shared" si="10"/>
        <v>2.7073452921135832E-3</v>
      </c>
      <c r="X41" s="24">
        <v>3.0269929957239317E-2</v>
      </c>
      <c r="Y41" s="24">
        <f t="shared" si="8"/>
        <v>3.2273389706048095E-2</v>
      </c>
      <c r="Z41" s="23">
        <f t="shared" si="9"/>
        <v>2.6361261466398833E-3</v>
      </c>
      <c r="AA41" s="36"/>
    </row>
    <row r="42" spans="4:27" ht="13.9" customHeight="1">
      <c r="D42" s="8"/>
      <c r="E42" s="9"/>
      <c r="F42" s="19"/>
      <c r="G42" s="19"/>
      <c r="H42" s="19"/>
      <c r="J42" s="45"/>
      <c r="K42" s="45"/>
      <c r="L42" s="45"/>
      <c r="M42" s="43"/>
      <c r="O42" s="12">
        <f t="shared" si="4"/>
        <v>2.4166666666666665</v>
      </c>
      <c r="P42" s="13">
        <v>29</v>
      </c>
      <c r="Q42" s="22">
        <v>2.6828847694880809E-2</v>
      </c>
      <c r="R42" s="19">
        <f t="shared" si="5"/>
        <v>2.8902161467276644E-2</v>
      </c>
      <c r="S42" s="22">
        <v>2.6828988999209935E-2</v>
      </c>
      <c r="T42" s="19">
        <f t="shared" si="6"/>
        <v>2.8898055376911369E-2</v>
      </c>
      <c r="U42" s="24">
        <v>3.1218940225055336E-2</v>
      </c>
      <c r="V42" s="24">
        <f t="shared" si="7"/>
        <v>3.3289464092760124E-2</v>
      </c>
      <c r="W42" s="23">
        <f t="shared" si="10"/>
        <v>2.7216855707481447E-3</v>
      </c>
      <c r="X42" s="24">
        <v>3.0338950003852894E-2</v>
      </c>
      <c r="Y42" s="24">
        <f t="shared" si="8"/>
        <v>3.2409181653872521E-2</v>
      </c>
      <c r="Z42" s="23">
        <f t="shared" si="9"/>
        <v>2.6504683371926241E-3</v>
      </c>
      <c r="AA42" s="36"/>
    </row>
    <row r="43" spans="4:27" ht="13.9" customHeight="1">
      <c r="D43" s="8"/>
      <c r="E43" s="9"/>
      <c r="F43" s="19"/>
      <c r="G43" s="19"/>
      <c r="H43" s="19"/>
      <c r="J43" s="45"/>
      <c r="K43" s="45"/>
      <c r="L43" s="45"/>
      <c r="M43" s="43"/>
      <c r="O43" s="12">
        <f t="shared" si="4"/>
        <v>2.5</v>
      </c>
      <c r="P43" s="13">
        <v>30</v>
      </c>
      <c r="Q43" s="22">
        <v>2.6897890796901303E-2</v>
      </c>
      <c r="R43" s="19">
        <f t="shared" si="5"/>
        <v>2.9013089232398537E-2</v>
      </c>
      <c r="S43" s="22">
        <v>2.6897890796927948E-2</v>
      </c>
      <c r="T43" s="19">
        <f t="shared" si="6"/>
        <v>2.9008851874994024E-2</v>
      </c>
      <c r="U43" s="24">
        <v>3.1287890796891427E-2</v>
      </c>
      <c r="V43" s="24">
        <f t="shared" si="7"/>
        <v>3.340042476199323E-2</v>
      </c>
      <c r="W43" s="23">
        <f t="shared" si="10"/>
        <v>2.7326742843605256E-3</v>
      </c>
      <c r="X43" s="24">
        <v>3.0407890796928072E-2</v>
      </c>
      <c r="Y43" s="24">
        <f t="shared" si="8"/>
        <v>3.2520109962351773E-2</v>
      </c>
      <c r="Z43" s="23">
        <f t="shared" si="9"/>
        <v>2.6614589375868469E-3</v>
      </c>
      <c r="AA43" s="36"/>
    </row>
    <row r="44" spans="4:27" ht="13.9" customHeight="1">
      <c r="D44" s="8"/>
      <c r="E44" s="9"/>
      <c r="F44" s="19"/>
      <c r="G44" s="19"/>
      <c r="H44" s="19"/>
      <c r="J44" s="45"/>
      <c r="K44" s="45"/>
      <c r="L44" s="45"/>
      <c r="M44" s="43"/>
      <c r="O44" s="12">
        <f t="shared" si="4"/>
        <v>2.5833333333333335</v>
      </c>
      <c r="P44" s="13">
        <v>31</v>
      </c>
      <c r="Q44" s="22">
        <v>2.6966055090923424E-2</v>
      </c>
      <c r="R44" s="19">
        <f t="shared" si="5"/>
        <v>2.916402178918065E-2</v>
      </c>
      <c r="S44" s="22">
        <v>2.6965918673646616E-2</v>
      </c>
      <c r="T44" s="19">
        <f t="shared" si="6"/>
        <v>2.9160662272872839E-2</v>
      </c>
      <c r="U44" s="24">
        <v>3.1355969599112576E-2</v>
      </c>
      <c r="V44" s="24">
        <f t="shared" si="7"/>
        <v>3.3552002401604497E-2</v>
      </c>
      <c r="W44" s="23">
        <f t="shared" si="10"/>
        <v>2.7416471179337876E-3</v>
      </c>
      <c r="X44" s="24">
        <v>3.0475959406895514E-2</v>
      </c>
      <c r="Y44" s="24">
        <f t="shared" si="8"/>
        <v>3.2671734369928984E-2</v>
      </c>
      <c r="Z44" s="23">
        <f t="shared" si="9"/>
        <v>2.6704361648854924E-3</v>
      </c>
      <c r="AA44" s="36"/>
    </row>
    <row r="45" spans="4:27" ht="13.9" customHeight="1">
      <c r="D45" s="8"/>
      <c r="E45" s="9"/>
      <c r="F45" s="19"/>
      <c r="G45" s="19"/>
      <c r="H45" s="19"/>
      <c r="J45" s="45"/>
      <c r="K45" s="45"/>
      <c r="L45" s="45"/>
      <c r="M45" s="43"/>
      <c r="O45" s="12">
        <f t="shared" si="4"/>
        <v>2.6666666666666665</v>
      </c>
      <c r="P45" s="13">
        <v>32</v>
      </c>
      <c r="Q45" s="22">
        <v>2.7034670443887743E-2</v>
      </c>
      <c r="R45" s="19">
        <f t="shared" si="5"/>
        <v>2.9371390920931884E-2</v>
      </c>
      <c r="S45" s="22">
        <v>2.7034433512998834E-2</v>
      </c>
      <c r="T45" s="19">
        <f t="shared" si="6"/>
        <v>2.9369717890655345E-2</v>
      </c>
      <c r="U45" s="24">
        <v>3.1424524944525523E-2</v>
      </c>
      <c r="V45" s="24">
        <f t="shared" si="7"/>
        <v>3.3760464301927362E-2</v>
      </c>
      <c r="W45" s="23">
        <f t="shared" si="10"/>
        <v>2.7539030153236332E-3</v>
      </c>
      <c r="X45" s="24">
        <v>3.0544506651149161E-2</v>
      </c>
      <c r="Y45" s="24">
        <f t="shared" si="8"/>
        <v>3.2880314971581726E-2</v>
      </c>
      <c r="Z45" s="23">
        <f t="shared" si="9"/>
        <v>2.6827054238509618E-3</v>
      </c>
      <c r="AA45" s="36"/>
    </row>
    <row r="46" spans="4:27" ht="13.9" customHeight="1">
      <c r="D46" s="8"/>
      <c r="E46" s="9"/>
      <c r="F46" s="19"/>
      <c r="G46" s="19"/>
      <c r="H46" s="19"/>
      <c r="J46" s="45"/>
      <c r="K46" s="45"/>
      <c r="L46" s="45"/>
      <c r="M46" s="43"/>
      <c r="O46" s="12">
        <f t="shared" si="4"/>
        <v>2.75</v>
      </c>
      <c r="P46" s="13">
        <v>33</v>
      </c>
      <c r="Q46" s="22">
        <v>2.7105402159304903E-2</v>
      </c>
      <c r="R46" s="19">
        <f t="shared" si="5"/>
        <v>2.9635272801266765E-2</v>
      </c>
      <c r="S46" s="22">
        <v>2.710512180600344E-2</v>
      </c>
      <c r="T46" s="19">
        <f t="shared" si="6"/>
        <v>2.9635833065549733E-2</v>
      </c>
      <c r="U46" s="24">
        <v>3.1495233372993425E-2</v>
      </c>
      <c r="V46" s="24">
        <f t="shared" si="7"/>
        <v>3.4025704871181839E-2</v>
      </c>
      <c r="W46" s="23">
        <f t="shared" si="10"/>
        <v>2.7707556315272885E-3</v>
      </c>
      <c r="X46" s="24">
        <v>3.0615211051330249E-2</v>
      </c>
      <c r="Y46" s="24">
        <f t="shared" si="8"/>
        <v>3.3145730373063342E-2</v>
      </c>
      <c r="Z46" s="23">
        <f t="shared" si="9"/>
        <v>2.6995808093501772E-3</v>
      </c>
      <c r="AA46" s="36"/>
    </row>
    <row r="47" spans="4:27" ht="13.9" customHeight="1">
      <c r="D47" s="8"/>
      <c r="E47" s="9"/>
      <c r="F47" s="19"/>
      <c r="G47" s="19"/>
      <c r="H47" s="19"/>
      <c r="J47" s="45"/>
      <c r="K47" s="45"/>
      <c r="L47" s="45"/>
      <c r="M47" s="43"/>
      <c r="O47" s="12">
        <f t="shared" si="4"/>
        <v>2.8333333333333335</v>
      </c>
      <c r="P47" s="13">
        <v>34</v>
      </c>
      <c r="Q47" s="22">
        <v>2.7179721320830241E-2</v>
      </c>
      <c r="R47" s="19">
        <f t="shared" si="5"/>
        <v>2.9955767656716814E-2</v>
      </c>
      <c r="S47" s="22">
        <v>2.7179465632577671E-2</v>
      </c>
      <c r="T47" s="19">
        <f t="shared" si="6"/>
        <v>2.9958849645181473E-2</v>
      </c>
      <c r="U47" s="24">
        <v>3.1569570542089309E-2</v>
      </c>
      <c r="V47" s="24">
        <f t="shared" si="7"/>
        <v>3.4347644582987114E-2</v>
      </c>
      <c r="W47" s="23">
        <f t="shared" si="10"/>
        <v>2.7921938839132743E-3</v>
      </c>
      <c r="X47" s="24">
        <v>3.0689549548241546E-2</v>
      </c>
      <c r="Y47" s="24">
        <f t="shared" si="8"/>
        <v>3.3467885544796516E-2</v>
      </c>
      <c r="Z47" s="23">
        <f t="shared" si="9"/>
        <v>2.7210499451482129E-3</v>
      </c>
      <c r="AA47" s="36"/>
    </row>
    <row r="48" spans="4:27" ht="13.9" customHeight="1">
      <c r="D48" s="8"/>
      <c r="E48" s="9"/>
      <c r="F48" s="19"/>
      <c r="G48" s="19"/>
      <c r="H48" s="19"/>
      <c r="J48" s="45"/>
      <c r="K48" s="45"/>
      <c r="L48" s="45"/>
      <c r="M48" s="43"/>
      <c r="O48" s="12">
        <f t="shared" si="4"/>
        <v>2.9166666666666665</v>
      </c>
      <c r="P48" s="13">
        <v>35</v>
      </c>
      <c r="Q48" s="22">
        <v>2.7258932998404761E-2</v>
      </c>
      <c r="R48" s="19">
        <f t="shared" si="5"/>
        <v>3.033300243435666E-2</v>
      </c>
      <c r="S48" s="22">
        <v>2.7258772422472211E-2</v>
      </c>
      <c r="T48" s="19">
        <f t="shared" si="6"/>
        <v>3.0338639427081482E-2</v>
      </c>
      <c r="U48" s="24">
        <v>3.1648840444488791E-2</v>
      </c>
      <c r="V48" s="24">
        <f t="shared" si="7"/>
        <v>3.4726232469421747E-2</v>
      </c>
      <c r="W48" s="23">
        <f t="shared" si="10"/>
        <v>2.8182081122827274E-3</v>
      </c>
      <c r="X48" s="24">
        <v>3.076882682720794E-2</v>
      </c>
      <c r="Y48" s="24">
        <f t="shared" si="8"/>
        <v>3.3846714304402559E-2</v>
      </c>
      <c r="Z48" s="23">
        <f t="shared" si="9"/>
        <v>2.7471019018809884E-3</v>
      </c>
      <c r="AA48" s="36"/>
    </row>
    <row r="49" spans="4:27" ht="13.9" customHeight="1">
      <c r="D49" s="8"/>
      <c r="E49" s="9"/>
      <c r="F49" s="19"/>
      <c r="G49" s="19"/>
      <c r="H49" s="19"/>
      <c r="J49" s="45"/>
      <c r="K49" s="45"/>
      <c r="L49" s="45"/>
      <c r="M49" s="43"/>
      <c r="O49" s="12">
        <f t="shared" si="4"/>
        <v>3</v>
      </c>
      <c r="P49" s="13">
        <v>36</v>
      </c>
      <c r="Q49" s="22">
        <v>2.7344199843061467E-2</v>
      </c>
      <c r="R49" s="19">
        <f t="shared" si="5"/>
        <v>3.0746844387425476E-2</v>
      </c>
      <c r="S49" s="22">
        <v>2.7344199843087003E-2</v>
      </c>
      <c r="T49" s="19">
        <f t="shared" si="6"/>
        <v>3.0754612334266573E-2</v>
      </c>
      <c r="U49" s="24">
        <v>3.1734199843051591E-2</v>
      </c>
      <c r="V49" s="24">
        <f t="shared" si="7"/>
        <v>3.5141070442289646E-2</v>
      </c>
      <c r="W49" s="23">
        <f t="shared" si="10"/>
        <v>2.848790282670155E-3</v>
      </c>
      <c r="X49" s="24">
        <v>3.0854199843087571E-2</v>
      </c>
      <c r="Y49" s="24">
        <f t="shared" si="8"/>
        <v>3.4261780179682066E-2</v>
      </c>
      <c r="Z49" s="23">
        <f t="shared" si="9"/>
        <v>2.7777274007747543E-3</v>
      </c>
      <c r="AA49" s="36"/>
    </row>
    <row r="50" spans="4:27" ht="13.9" customHeight="1">
      <c r="D50" s="8"/>
      <c r="E50" s="9"/>
      <c r="F50" s="19"/>
      <c r="G50" s="19"/>
      <c r="H50" s="19"/>
      <c r="J50" s="45"/>
      <c r="K50" s="45"/>
      <c r="L50" s="45"/>
      <c r="M50" s="43"/>
      <c r="O50" s="12">
        <f t="shared" si="4"/>
        <v>3.0833333333333335</v>
      </c>
      <c r="P50" s="13">
        <v>37</v>
      </c>
      <c r="Q50" s="22">
        <v>2.7436015352237941E-2</v>
      </c>
      <c r="R50" s="19">
        <f t="shared" si="5"/>
        <v>3.1116227185927547E-2</v>
      </c>
      <c r="S50" s="22">
        <v>2.7436224621648631E-2</v>
      </c>
      <c r="T50" s="19">
        <f t="shared" si="6"/>
        <v>3.1124822899699423E-2</v>
      </c>
      <c r="U50" s="24">
        <v>3.1826129832148276E-2</v>
      </c>
      <c r="V50" s="24">
        <f t="shared" si="7"/>
        <v>3.5510694608056115E-2</v>
      </c>
      <c r="W50" s="23">
        <f t="shared" si="10"/>
        <v>2.8822889448356648E-3</v>
      </c>
      <c r="X50" s="24">
        <v>3.0946148827064812E-2</v>
      </c>
      <c r="Y50" s="24">
        <f t="shared" si="8"/>
        <v>3.4631522244511714E-2</v>
      </c>
      <c r="Z50" s="23">
        <f t="shared" si="9"/>
        <v>2.8112705943992289E-3</v>
      </c>
      <c r="AA50" s="36"/>
    </row>
    <row r="51" spans="4:27" ht="13.9" customHeight="1">
      <c r="D51" s="8"/>
      <c r="E51" s="9"/>
      <c r="F51" s="19"/>
      <c r="G51" s="19"/>
      <c r="H51" s="19"/>
      <c r="J51" s="45"/>
      <c r="K51" s="45"/>
      <c r="L51" s="45"/>
      <c r="M51" s="43"/>
      <c r="O51" s="12">
        <f t="shared" si="4"/>
        <v>3.1666666666666665</v>
      </c>
      <c r="P51" s="13">
        <v>38</v>
      </c>
      <c r="Q51" s="22">
        <v>2.7532694542328207E-2</v>
      </c>
      <c r="R51" s="19">
        <f t="shared" si="5"/>
        <v>3.1420812263746267E-2</v>
      </c>
      <c r="S51" s="22">
        <v>2.753312373980199E-2</v>
      </c>
      <c r="T51" s="19">
        <f t="shared" si="6"/>
        <v>3.1429003248174103E-2</v>
      </c>
      <c r="U51" s="24">
        <v>3.1922923891890553E-2</v>
      </c>
      <c r="V51" s="24">
        <f t="shared" si="7"/>
        <v>3.5814869628506774E-2</v>
      </c>
      <c r="W51" s="23">
        <f t="shared" si="10"/>
        <v>2.9121261724065484E-3</v>
      </c>
      <c r="X51" s="24">
        <v>3.1042963949838409E-2</v>
      </c>
      <c r="Y51" s="24">
        <f t="shared" si="8"/>
        <v>3.4935698535110804E-2</v>
      </c>
      <c r="Z51" s="23">
        <f t="shared" si="9"/>
        <v>2.8411405926416222E-3</v>
      </c>
      <c r="AA51" s="36"/>
    </row>
    <row r="52" spans="4:27" ht="13.9" customHeight="1">
      <c r="D52" s="8"/>
      <c r="E52" s="9"/>
      <c r="F52" s="19"/>
      <c r="G52" s="19"/>
      <c r="H52" s="19"/>
      <c r="J52" s="45"/>
      <c r="K52" s="45"/>
      <c r="L52" s="45"/>
      <c r="M52" s="43"/>
      <c r="O52" s="12">
        <f t="shared" si="4"/>
        <v>3.25</v>
      </c>
      <c r="P52" s="13">
        <v>39</v>
      </c>
      <c r="Q52" s="22">
        <v>2.7632206540972204E-2</v>
      </c>
      <c r="R52" s="19">
        <f t="shared" si="5"/>
        <v>3.166052440873357E-2</v>
      </c>
      <c r="S52" s="22">
        <v>2.7632834026934949E-2</v>
      </c>
      <c r="T52" s="19">
        <f t="shared" si="6"/>
        <v>3.1667398869108299E-2</v>
      </c>
      <c r="U52" s="24">
        <v>3.2022534463606922E-2</v>
      </c>
      <c r="V52" s="24">
        <f t="shared" si="7"/>
        <v>3.6053744184334935E-2</v>
      </c>
      <c r="W52" s="23">
        <f t="shared" si="10"/>
        <v>2.9366728167687928E-3</v>
      </c>
      <c r="X52" s="24">
        <v>3.1142594518598354E-2</v>
      </c>
      <c r="Y52" s="24">
        <f t="shared" si="8"/>
        <v>3.517447718204636E-2</v>
      </c>
      <c r="Z52" s="23">
        <f t="shared" si="9"/>
        <v>2.8657064562596091E-3</v>
      </c>
      <c r="AA52" s="36"/>
    </row>
    <row r="53" spans="4:27" ht="13.9" customHeight="1">
      <c r="D53" s="8"/>
      <c r="E53" s="9"/>
      <c r="F53" s="19"/>
      <c r="G53" s="19"/>
      <c r="H53" s="19"/>
      <c r="J53" s="45"/>
      <c r="K53" s="45"/>
      <c r="L53" s="45"/>
      <c r="M53" s="43"/>
      <c r="O53" s="12">
        <f t="shared" si="4"/>
        <v>3.3333333333333335</v>
      </c>
      <c r="P53" s="13">
        <v>40</v>
      </c>
      <c r="Q53" s="22">
        <v>2.7732722530011467E-2</v>
      </c>
      <c r="R53" s="19">
        <f t="shared" si="5"/>
        <v>3.1835281801104731E-2</v>
      </c>
      <c r="S53" s="22">
        <v>2.773350559539578E-2</v>
      </c>
      <c r="T53" s="19">
        <f t="shared" si="6"/>
        <v>3.1840245442384951E-2</v>
      </c>
      <c r="U53" s="24">
        <v>3.2123123289303335E-2</v>
      </c>
      <c r="V53" s="24">
        <f t="shared" si="7"/>
        <v>3.6227458388165212E-2</v>
      </c>
      <c r="W53" s="23">
        <f t="shared" si="10"/>
        <v>2.9559451420451133E-3</v>
      </c>
      <c r="X53" s="24">
        <v>3.1243199941047628E-2</v>
      </c>
      <c r="Y53" s="24">
        <f t="shared" si="8"/>
        <v>3.5348017487758732E-2</v>
      </c>
      <c r="Z53" s="23">
        <f t="shared" si="9"/>
        <v>2.8849860435722352E-3</v>
      </c>
      <c r="AA53" s="36"/>
    </row>
    <row r="54" spans="4:27" ht="13.9" customHeight="1">
      <c r="D54" s="8"/>
      <c r="E54" s="9"/>
      <c r="F54" s="19"/>
      <c r="G54" s="19"/>
      <c r="H54" s="19"/>
      <c r="J54" s="45"/>
      <c r="K54" s="45"/>
      <c r="L54" s="45"/>
      <c r="M54" s="43"/>
      <c r="O54" s="12">
        <f t="shared" si="4"/>
        <v>3.4166666666666665</v>
      </c>
      <c r="P54" s="13">
        <v>41</v>
      </c>
      <c r="Q54" s="22">
        <v>2.783259061580079E-2</v>
      </c>
      <c r="R54" s="19">
        <f t="shared" si="5"/>
        <v>3.1944999423720644E-2</v>
      </c>
      <c r="S54" s="22">
        <v>2.7833475250854889E-2</v>
      </c>
      <c r="T54" s="19">
        <f t="shared" si="6"/>
        <v>3.1947772265887853E-2</v>
      </c>
      <c r="U54" s="24">
        <v>3.2223035345120721E-2</v>
      </c>
      <c r="V54" s="24">
        <f t="shared" si="7"/>
        <v>3.6336147165561217E-2</v>
      </c>
      <c r="W54" s="23">
        <f t="shared" si="10"/>
        <v>2.9699577923534282E-3</v>
      </c>
      <c r="X54" s="24">
        <v>3.1343123553544627E-2</v>
      </c>
      <c r="Y54" s="24">
        <f t="shared" si="8"/>
        <v>3.5456473316178183E-2</v>
      </c>
      <c r="Z54" s="23">
        <f t="shared" si="9"/>
        <v>2.8989955656077981E-3</v>
      </c>
      <c r="AA54" s="36"/>
    </row>
    <row r="55" spans="4:27" ht="13.9" customHeight="1">
      <c r="D55" s="8"/>
      <c r="E55" s="9"/>
      <c r="F55" s="19"/>
      <c r="G55" s="19"/>
      <c r="H55" s="19"/>
      <c r="J55" s="45"/>
      <c r="K55" s="45"/>
      <c r="L55" s="45"/>
      <c r="M55" s="43"/>
      <c r="O55" s="12">
        <f t="shared" si="4"/>
        <v>3.5</v>
      </c>
      <c r="P55" s="13">
        <v>42</v>
      </c>
      <c r="Q55" s="22">
        <v>2.7930314397163647E-2</v>
      </c>
      <c r="R55" s="19">
        <f t="shared" si="5"/>
        <v>3.1989744605502857E-2</v>
      </c>
      <c r="S55" s="22">
        <v>2.793124381475165E-2</v>
      </c>
      <c r="T55" s="19">
        <f t="shared" si="6"/>
        <v>3.1990205645018976E-2</v>
      </c>
      <c r="U55" s="24">
        <v>3.2320776609087165E-2</v>
      </c>
      <c r="V55" s="24">
        <f t="shared" si="7"/>
        <v>3.6379943615887811E-2</v>
      </c>
      <c r="W55" s="23">
        <f t="shared" si="10"/>
        <v>2.9787240737741971E-3</v>
      </c>
      <c r="X55" s="24">
        <v>3.144087029917908E-2</v>
      </c>
      <c r="Y55" s="24">
        <f t="shared" si="8"/>
        <v>3.5499996459492644E-2</v>
      </c>
      <c r="Z55" s="23">
        <f t="shared" si="9"/>
        <v>2.9077498699288107E-3</v>
      </c>
      <c r="AA55" s="36"/>
    </row>
    <row r="56" spans="4:27" ht="13.9" customHeight="1">
      <c r="D56" s="8"/>
      <c r="E56" s="9"/>
      <c r="F56" s="19"/>
      <c r="G56" s="19"/>
      <c r="H56" s="19"/>
      <c r="J56" s="45"/>
      <c r="K56" s="45"/>
      <c r="L56" s="45"/>
      <c r="M56" s="43"/>
      <c r="O56" s="12">
        <f t="shared" si="4"/>
        <v>3.5833333333333335</v>
      </c>
      <c r="P56" s="13">
        <v>43</v>
      </c>
      <c r="Q56" s="22">
        <v>2.8024538148849087E-2</v>
      </c>
      <c r="R56" s="19">
        <f t="shared" si="5"/>
        <v>3.1970045050572882E-2</v>
      </c>
      <c r="S56" s="22">
        <v>2.8025456715937258E-2</v>
      </c>
      <c r="T56" s="19">
        <f t="shared" si="6"/>
        <v>3.1967772245952153E-2</v>
      </c>
      <c r="U56" s="24">
        <v>3.2414995033583693E-2</v>
      </c>
      <c r="V56" s="24">
        <f t="shared" si="7"/>
        <v>3.6358982353150493E-2</v>
      </c>
      <c r="W56" s="23">
        <f t="shared" si="10"/>
        <v>2.9822562334542724E-3</v>
      </c>
      <c r="X56" s="24">
        <v>3.1535087623548508E-2</v>
      </c>
      <c r="Y56" s="24">
        <f t="shared" si="8"/>
        <v>3.5478739981052332E-2</v>
      </c>
      <c r="Z56" s="23">
        <f t="shared" si="9"/>
        <v>2.9112627213427889E-3</v>
      </c>
      <c r="AA56" s="36"/>
    </row>
    <row r="57" spans="4:27" ht="13.9" customHeight="1">
      <c r="D57" s="8"/>
      <c r="E57" s="9"/>
      <c r="F57" s="19"/>
      <c r="G57" s="19"/>
      <c r="H57" s="19"/>
      <c r="J57" s="45"/>
      <c r="K57" s="45"/>
      <c r="L57" s="45"/>
      <c r="M57" s="43"/>
      <c r="O57" s="12">
        <f t="shared" si="4"/>
        <v>3.6666666666666665</v>
      </c>
      <c r="P57" s="13">
        <v>44</v>
      </c>
      <c r="Q57" s="22">
        <v>2.8114041019566827E-2</v>
      </c>
      <c r="R57" s="19">
        <f t="shared" si="5"/>
        <v>3.1885979694905586E-2</v>
      </c>
      <c r="S57" s="22">
        <v>2.8114887326535998E-2</v>
      </c>
      <c r="T57" s="19">
        <f t="shared" si="6"/>
        <v>3.1880702411742456E-2</v>
      </c>
      <c r="U57" s="24">
        <v>3.2504464208361616E-2</v>
      </c>
      <c r="V57" s="24">
        <f t="shared" si="7"/>
        <v>3.6273402825023782E-2</v>
      </c>
      <c r="W57" s="23">
        <f t="shared" si="10"/>
        <v>2.9805657361920979E-3</v>
      </c>
      <c r="X57" s="24">
        <v>3.1624549071879171E-2</v>
      </c>
      <c r="Y57" s="24">
        <f t="shared" si="8"/>
        <v>3.5392861533380948E-2</v>
      </c>
      <c r="Z57" s="23">
        <f t="shared" si="9"/>
        <v>2.9095470797619871E-3</v>
      </c>
      <c r="AA57" s="36"/>
    </row>
    <row r="58" spans="4:27" ht="13.9" customHeight="1">
      <c r="D58" s="8"/>
      <c r="E58" s="9"/>
      <c r="F58" s="19"/>
      <c r="G58" s="19"/>
      <c r="H58" s="19"/>
      <c r="J58" s="45"/>
      <c r="K58" s="45"/>
      <c r="L58" s="45"/>
      <c r="M58" s="43"/>
      <c r="O58" s="12">
        <f t="shared" si="4"/>
        <v>3.75</v>
      </c>
      <c r="P58" s="13">
        <v>45</v>
      </c>
      <c r="Q58" s="22">
        <v>2.8197711897833155E-2</v>
      </c>
      <c r="R58" s="19">
        <f t="shared" si="5"/>
        <v>3.1737485685663813E-2</v>
      </c>
      <c r="S58" s="22">
        <v>2.8198422611140694E-2</v>
      </c>
      <c r="T58" s="19">
        <f t="shared" si="6"/>
        <v>3.1729233439530047E-2</v>
      </c>
      <c r="U58" s="24">
        <v>3.2588069292064592E-2</v>
      </c>
      <c r="V58" s="24">
        <f t="shared" si="7"/>
        <v>3.61233526101854E-2</v>
      </c>
      <c r="W58" s="23">
        <f t="shared" si="10"/>
        <v>2.9736635387052068E-3</v>
      </c>
      <c r="X58" s="24">
        <v>3.1708140163671183E-2</v>
      </c>
      <c r="Y58" s="24">
        <f t="shared" si="8"/>
        <v>3.5242526651548367E-2</v>
      </c>
      <c r="Z58" s="23">
        <f t="shared" si="9"/>
        <v>2.9026153754656558E-3</v>
      </c>
      <c r="AA58" s="36"/>
    </row>
    <row r="59" spans="4:27" ht="13.9" customHeight="1">
      <c r="D59" s="8"/>
      <c r="E59" s="9"/>
      <c r="F59" s="19"/>
      <c r="G59" s="19"/>
      <c r="H59" s="19"/>
      <c r="J59" s="45"/>
      <c r="K59" s="45"/>
      <c r="L59" s="45"/>
      <c r="M59" s="43"/>
      <c r="O59" s="12">
        <f t="shared" si="4"/>
        <v>3.8333333333333335</v>
      </c>
      <c r="P59" s="13">
        <v>46</v>
      </c>
      <c r="Q59" s="22">
        <v>2.8274534214363323E-2</v>
      </c>
      <c r="R59" s="19">
        <f t="shared" si="5"/>
        <v>3.152451379361576E-2</v>
      </c>
      <c r="S59" s="22">
        <v>2.8275050733979512E-2</v>
      </c>
      <c r="T59" s="19">
        <f t="shared" si="6"/>
        <v>3.1513612817295478E-2</v>
      </c>
      <c r="U59" s="24">
        <v>3.2664794864209812E-2</v>
      </c>
      <c r="V59" s="24">
        <f t="shared" si="7"/>
        <v>3.5908990688787279E-2</v>
      </c>
      <c r="W59" s="23">
        <f t="shared" si="10"/>
        <v>2.9615603619110864E-3</v>
      </c>
      <c r="X59" s="24">
        <v>3.1784846195357153E-2</v>
      </c>
      <c r="Y59" s="24">
        <f t="shared" si="8"/>
        <v>3.5027912016586615E-2</v>
      </c>
      <c r="Z59" s="23">
        <f t="shared" si="9"/>
        <v>2.8904797821196482E-3</v>
      </c>
      <c r="AA59" s="36"/>
    </row>
    <row r="60" spans="4:27" ht="13.9" customHeight="1">
      <c r="D60" s="8"/>
      <c r="E60" s="9"/>
      <c r="F60" s="19"/>
      <c r="G60" s="19"/>
      <c r="H60" s="19"/>
      <c r="J60" s="45"/>
      <c r="K60" s="45"/>
      <c r="L60" s="45"/>
      <c r="M60" s="43"/>
      <c r="O60" s="12">
        <f t="shared" si="4"/>
        <v>3.9166666666666665</v>
      </c>
      <c r="P60" s="13">
        <v>47</v>
      </c>
      <c r="Q60" s="22">
        <v>2.834357598761672E-2</v>
      </c>
      <c r="R60" s="19">
        <f t="shared" si="5"/>
        <v>3.1247031813194104E-2</v>
      </c>
      <c r="S60" s="22">
        <v>2.8343850329644038E-2</v>
      </c>
      <c r="T60" s="19">
        <f t="shared" si="6"/>
        <v>3.1234101416352855E-2</v>
      </c>
      <c r="U60" s="24">
        <v>3.273371440919326E-2</v>
      </c>
      <c r="V60" s="24">
        <f t="shared" si="7"/>
        <v>3.5630490684914085E-2</v>
      </c>
      <c r="W60" s="23">
        <f t="shared" si="10"/>
        <v>2.9442669611348116E-3</v>
      </c>
      <c r="X60" s="24">
        <v>3.1853741681334258E-2</v>
      </c>
      <c r="Y60" s="24">
        <f t="shared" si="8"/>
        <v>3.4749208687666622E-2</v>
      </c>
      <c r="Z60" s="23">
        <f t="shared" si="9"/>
        <v>2.8731524874479053E-3</v>
      </c>
      <c r="AA60" s="36"/>
    </row>
    <row r="61" spans="4:27" ht="13.9" customHeight="1">
      <c r="D61" s="8"/>
      <c r="E61" s="9"/>
      <c r="F61" s="19"/>
      <c r="G61" s="19"/>
      <c r="H61" s="19"/>
      <c r="J61" s="45"/>
      <c r="K61" s="45"/>
      <c r="L61" s="45"/>
      <c r="M61" s="43"/>
      <c r="O61" s="12">
        <f t="shared" si="4"/>
        <v>4</v>
      </c>
      <c r="P61" s="13">
        <v>48</v>
      </c>
      <c r="Q61" s="22">
        <v>2.8403981192339112E-2</v>
      </c>
      <c r="R61" s="19">
        <f t="shared" si="5"/>
        <v>3.0926609291423324E-2</v>
      </c>
      <c r="S61" s="22">
        <v>2.8403981192363315E-2</v>
      </c>
      <c r="T61" s="19">
        <f t="shared" si="6"/>
        <v>3.0912640820028869E-2</v>
      </c>
      <c r="U61" s="24">
        <v>3.279398119232968E-2</v>
      </c>
      <c r="V61" s="24">
        <f t="shared" si="7"/>
        <v>3.5309653816414377E-2</v>
      </c>
      <c r="W61" s="23">
        <f t="shared" si="10"/>
        <v>2.9217943944670477E-3</v>
      </c>
      <c r="X61" s="24">
        <v>3.1913981192363661E-2</v>
      </c>
      <c r="Y61" s="24">
        <f t="shared" si="8"/>
        <v>3.4428246007274677E-2</v>
      </c>
      <c r="Z61" s="23">
        <f t="shared" si="9"/>
        <v>2.8506459617740898E-3</v>
      </c>
      <c r="AA61" s="36"/>
    </row>
    <row r="62" spans="4:27" ht="13.9" customHeight="1">
      <c r="D62" s="8"/>
      <c r="E62" s="9"/>
      <c r="F62" s="19"/>
      <c r="G62" s="19"/>
      <c r="H62" s="19"/>
      <c r="J62" s="45"/>
      <c r="K62" s="45"/>
      <c r="L62" s="45"/>
      <c r="M62" s="43"/>
      <c r="O62" s="12">
        <f t="shared" si="4"/>
        <v>4.083333333333333</v>
      </c>
      <c r="P62" s="13">
        <v>49</v>
      </c>
      <c r="Q62" s="22">
        <v>2.8455401645231193E-2</v>
      </c>
      <c r="R62" s="19">
        <f t="shared" si="5"/>
        <v>3.0649566507715331E-2</v>
      </c>
      <c r="S62" s="22">
        <v>2.8455117255858919E-2</v>
      </c>
      <c r="T62" s="19">
        <f t="shared" si="6"/>
        <v>3.0635964403446847E-2</v>
      </c>
      <c r="U62" s="24">
        <v>3.2845260297170942E-2</v>
      </c>
      <c r="V62" s="24">
        <f t="shared" si="7"/>
        <v>3.5032972826345876E-2</v>
      </c>
      <c r="W62" s="23">
        <f t="shared" si="10"/>
        <v>2.8958987372753597E-3</v>
      </c>
      <c r="X62" s="24">
        <v>3.1965231582767428E-2</v>
      </c>
      <c r="Y62" s="24">
        <f t="shared" si="8"/>
        <v>3.4151565147742868E-2</v>
      </c>
      <c r="Z62" s="23">
        <f t="shared" si="9"/>
        <v>2.8247199210866825E-3</v>
      </c>
      <c r="AA62" s="36"/>
    </row>
    <row r="63" spans="4:27" ht="13.9" customHeight="1">
      <c r="D63" s="8"/>
      <c r="E63" s="9"/>
      <c r="F63" s="19"/>
      <c r="G63" s="19"/>
      <c r="H63" s="19"/>
      <c r="J63" s="45"/>
      <c r="K63" s="45"/>
      <c r="L63" s="45"/>
      <c r="M63" s="43"/>
      <c r="O63" s="12">
        <f t="shared" si="4"/>
        <v>4.166666666666667</v>
      </c>
      <c r="P63" s="13">
        <v>50</v>
      </c>
      <c r="Q63" s="22">
        <v>2.8499239131652754E-2</v>
      </c>
      <c r="R63" s="19">
        <f t="shared" si="5"/>
        <v>3.0437481193198224E-2</v>
      </c>
      <c r="S63" s="22">
        <v>2.849868894200358E-2</v>
      </c>
      <c r="T63" s="19">
        <f t="shared" si="6"/>
        <v>3.042545837168098E-2</v>
      </c>
      <c r="U63" s="24">
        <v>3.2888969199066809E-2</v>
      </c>
      <c r="V63" s="24">
        <f t="shared" si="7"/>
        <v>3.4821864405168323E-2</v>
      </c>
      <c r="W63" s="23">
        <f t="shared" si="10"/>
        <v>2.8735611188484E-3</v>
      </c>
      <c r="X63" s="24">
        <v>3.2008912923920496E-2</v>
      </c>
      <c r="Y63" s="24">
        <f t="shared" si="8"/>
        <v>3.3940576807005796E-2</v>
      </c>
      <c r="Z63" s="23">
        <f t="shared" si="9"/>
        <v>2.8023648643300536E-3</v>
      </c>
      <c r="AA63" s="36"/>
    </row>
    <row r="64" spans="4:27" ht="13.9" customHeight="1">
      <c r="D64" s="8"/>
      <c r="E64" s="9"/>
      <c r="F64" s="19"/>
      <c r="G64" s="19"/>
      <c r="H64" s="19"/>
      <c r="J64" s="45"/>
      <c r="K64" s="45"/>
      <c r="L64" s="45"/>
      <c r="M64" s="43"/>
      <c r="O64" s="12">
        <f t="shared" si="4"/>
        <v>4.25</v>
      </c>
      <c r="P64" s="13">
        <v>51</v>
      </c>
      <c r="Q64" s="22">
        <v>2.8537208813118387E-2</v>
      </c>
      <c r="R64" s="19">
        <f t="shared" si="5"/>
        <v>3.0290356116345007E-2</v>
      </c>
      <c r="S64" s="22">
        <v>2.8536434083505258E-2</v>
      </c>
      <c r="T64" s="19">
        <f t="shared" si="6"/>
        <v>3.0280804315988563E-2</v>
      </c>
      <c r="U64" s="24">
        <v>3.2926834381324266E-2</v>
      </c>
      <c r="V64" s="24">
        <f t="shared" si="7"/>
        <v>3.4676108898714419E-2</v>
      </c>
      <c r="W64" s="23">
        <f t="shared" si="10"/>
        <v>2.856513767537594E-3</v>
      </c>
      <c r="X64" s="24">
        <v>3.2046753977251763E-2</v>
      </c>
      <c r="Y64" s="24">
        <f t="shared" si="8"/>
        <v>3.3795041620624966E-2</v>
      </c>
      <c r="Z64" s="23">
        <f t="shared" si="9"/>
        <v>2.7853138986349002E-3</v>
      </c>
      <c r="AA64" s="36"/>
    </row>
    <row r="65" spans="4:27" ht="13.9" customHeight="1">
      <c r="D65" s="8"/>
      <c r="E65" s="9"/>
      <c r="F65" s="19"/>
      <c r="G65" s="19"/>
      <c r="H65" s="19"/>
      <c r="J65" s="45"/>
      <c r="K65" s="45"/>
      <c r="L65" s="45"/>
      <c r="M65" s="43"/>
      <c r="O65" s="12">
        <f t="shared" si="4"/>
        <v>4.333333333333333</v>
      </c>
      <c r="P65" s="13">
        <v>52</v>
      </c>
      <c r="Q65" s="22">
        <v>2.8570895035404442E-2</v>
      </c>
      <c r="R65" s="19">
        <f t="shared" si="5"/>
        <v>3.0208201396451084E-2</v>
      </c>
      <c r="S65" s="22">
        <v>2.856995179693933E-2</v>
      </c>
      <c r="T65" s="19">
        <f t="shared" si="6"/>
        <v>3.0201695541500539E-2</v>
      </c>
      <c r="U65" s="24">
        <v>3.296044637008122E-2</v>
      </c>
      <c r="V65" s="24">
        <f t="shared" si="7"/>
        <v>3.4595496661294911E-2</v>
      </c>
      <c r="W65" s="23">
        <f t="shared" si="10"/>
        <v>2.8447419108452721E-3</v>
      </c>
      <c r="X65" s="24">
        <v>3.2080346995379205E-2</v>
      </c>
      <c r="Y65" s="24">
        <f t="shared" si="8"/>
        <v>3.3714730584556429E-2</v>
      </c>
      <c r="Z65" s="23">
        <f t="shared" si="9"/>
        <v>2.7735506530091047E-3</v>
      </c>
      <c r="AA65" s="36"/>
    </row>
    <row r="66" spans="4:27" ht="13.9" customHeight="1">
      <c r="D66" s="8"/>
      <c r="E66" s="9"/>
      <c r="F66" s="19"/>
      <c r="G66" s="19"/>
      <c r="H66" s="19"/>
      <c r="J66" s="45"/>
      <c r="K66" s="45"/>
      <c r="L66" s="45"/>
      <c r="M66" s="43"/>
      <c r="O66" s="12">
        <f t="shared" si="4"/>
        <v>4.416666666666667</v>
      </c>
      <c r="P66" s="13">
        <v>53</v>
      </c>
      <c r="Q66" s="22">
        <v>2.860176350969712E-2</v>
      </c>
      <c r="R66" s="19">
        <f t="shared" si="5"/>
        <v>3.0191037930231923E-2</v>
      </c>
      <c r="S66" s="22">
        <v>2.860071547956422E-2</v>
      </c>
      <c r="T66" s="19">
        <f t="shared" si="6"/>
        <v>3.0187840369410246E-2</v>
      </c>
      <c r="U66" s="24">
        <v>3.2991272445367592E-2</v>
      </c>
      <c r="V66" s="24">
        <f t="shared" si="7"/>
        <v>3.4579831364801805E-2</v>
      </c>
      <c r="W66" s="23">
        <f t="shared" si="10"/>
        <v>2.8382306586243189E-3</v>
      </c>
      <c r="X66" s="24">
        <v>3.2111160490514656E-2</v>
      </c>
      <c r="Y66" s="24">
        <f t="shared" si="8"/>
        <v>3.369942836335138E-2</v>
      </c>
      <c r="Z66" s="23">
        <f t="shared" si="9"/>
        <v>2.7670586625616611E-3</v>
      </c>
      <c r="AA66" s="36"/>
    </row>
    <row r="67" spans="4:27" ht="13.9" customHeight="1">
      <c r="D67" s="8"/>
      <c r="E67" s="9"/>
      <c r="F67" s="19"/>
      <c r="G67" s="19"/>
      <c r="H67" s="19"/>
      <c r="J67" s="45"/>
      <c r="K67" s="45"/>
      <c r="L67" s="45"/>
      <c r="M67" s="43"/>
      <c r="O67" s="12">
        <f t="shared" si="4"/>
        <v>4.5</v>
      </c>
      <c r="P67" s="13">
        <v>54</v>
      </c>
      <c r="Q67" s="22">
        <v>2.8631172224616197E-2</v>
      </c>
      <c r="R67" s="19">
        <f t="shared" si="5"/>
        <v>3.0238751530123009E-2</v>
      </c>
      <c r="S67" s="22">
        <v>2.8630084448568738E-2</v>
      </c>
      <c r="T67" s="19">
        <f t="shared" si="6"/>
        <v>3.0238965391350847E-2</v>
      </c>
      <c r="U67" s="24">
        <v>3.3020668024872579E-2</v>
      </c>
      <c r="V67" s="24">
        <f t="shared" si="7"/>
        <v>3.4628933275830498E-2</v>
      </c>
      <c r="W67" s="23">
        <f t="shared" si="10"/>
        <v>2.8369652794419942E-3</v>
      </c>
      <c r="X67" s="24">
        <v>3.2140550669503831E-2</v>
      </c>
      <c r="Y67" s="24">
        <f t="shared" si="8"/>
        <v>3.3748936563297693E-2</v>
      </c>
      <c r="Z67" s="23">
        <f t="shared" si="9"/>
        <v>2.7658216459549578E-3</v>
      </c>
      <c r="AA67" s="36"/>
    </row>
    <row r="68" spans="4:27" ht="13.9" customHeight="1">
      <c r="D68" s="8"/>
      <c r="E68" s="9"/>
      <c r="F68" s="19"/>
      <c r="G68" s="19"/>
      <c r="H68" s="19"/>
      <c r="J68" s="45"/>
      <c r="K68" s="45"/>
      <c r="L68" s="45"/>
      <c r="M68" s="43"/>
      <c r="O68" s="12">
        <f t="shared" si="4"/>
        <v>4.583333333333333</v>
      </c>
      <c r="P68" s="13">
        <v>55</v>
      </c>
      <c r="Q68" s="22">
        <v>2.8660378537847642E-2</v>
      </c>
      <c r="R68" s="19">
        <f t="shared" si="5"/>
        <v>3.0350797459403278E-2</v>
      </c>
      <c r="S68" s="22">
        <v>2.8659314391636492E-2</v>
      </c>
      <c r="T68" s="19">
        <f t="shared" si="6"/>
        <v>3.0354818683898666E-2</v>
      </c>
      <c r="U68" s="24">
        <v>3.3049886885899271E-2</v>
      </c>
      <c r="V68" s="24">
        <f t="shared" si="7"/>
        <v>3.4742642509501653E-2</v>
      </c>
      <c r="W68" s="23">
        <f t="shared" si="10"/>
        <v>2.8409314741271174E-3</v>
      </c>
      <c r="X68" s="24">
        <v>3.2169771701668459E-2</v>
      </c>
      <c r="Y68" s="24">
        <f t="shared" si="8"/>
        <v>3.3863076978671414E-2</v>
      </c>
      <c r="Z68" s="23">
        <f t="shared" si="9"/>
        <v>2.7698237797542102E-3</v>
      </c>
      <c r="AA68" s="36"/>
    </row>
    <row r="69" spans="4:27" ht="13.9" customHeight="1">
      <c r="D69" s="8"/>
      <c r="E69" s="9"/>
      <c r="F69" s="19"/>
      <c r="G69" s="19"/>
      <c r="H69" s="19"/>
      <c r="J69" s="45"/>
      <c r="K69" s="45"/>
      <c r="L69" s="45"/>
      <c r="M69" s="43"/>
      <c r="O69" s="12">
        <f t="shared" si="4"/>
        <v>4.666666666666667</v>
      </c>
      <c r="P69" s="13">
        <v>56</v>
      </c>
      <c r="Q69" s="22">
        <v>2.8690540256657293E-2</v>
      </c>
      <c r="R69" s="19">
        <f t="shared" si="5"/>
        <v>3.0527099194176621E-2</v>
      </c>
      <c r="S69" s="22">
        <v>2.8689566774065201E-2</v>
      </c>
      <c r="T69" s="19">
        <f t="shared" si="6"/>
        <v>3.0535172988858772E-2</v>
      </c>
      <c r="U69" s="24">
        <v>3.3080090367816339E-2</v>
      </c>
      <c r="V69" s="24">
        <f t="shared" si="7"/>
        <v>3.492082226230675E-2</v>
      </c>
      <c r="W69" s="23">
        <f t="shared" si="10"/>
        <v>2.8501156468667688E-3</v>
      </c>
      <c r="X69" s="24">
        <v>3.2199984962343109E-2</v>
      </c>
      <c r="Y69" s="24">
        <f t="shared" si="8"/>
        <v>3.4041694814785917E-2</v>
      </c>
      <c r="Z69" s="23">
        <f t="shared" si="9"/>
        <v>2.7790499700095506E-3</v>
      </c>
      <c r="AA69" s="36"/>
    </row>
    <row r="70" spans="4:27" ht="13.9" customHeight="1">
      <c r="D70" s="8"/>
      <c r="E70" s="9"/>
      <c r="F70" s="19"/>
      <c r="G70" s="19"/>
      <c r="H70" s="19"/>
      <c r="J70" s="45"/>
      <c r="K70" s="45"/>
      <c r="L70" s="45"/>
      <c r="M70" s="43"/>
      <c r="O70" s="12">
        <f t="shared" si="4"/>
        <v>4.75</v>
      </c>
      <c r="P70" s="13">
        <v>57</v>
      </c>
      <c r="Q70" s="22">
        <v>2.8722732364715453E-2</v>
      </c>
      <c r="R70" s="19">
        <f t="shared" si="5"/>
        <v>3.0767753481877325E-2</v>
      </c>
      <c r="S70" s="22">
        <v>2.8721917327662938E-2</v>
      </c>
      <c r="T70" s="19">
        <f t="shared" si="6"/>
        <v>3.0779828867350867E-2</v>
      </c>
      <c r="U70" s="24">
        <v>3.3112355677644256E-2</v>
      </c>
      <c r="V70" s="24">
        <f t="shared" si="7"/>
        <v>3.5163362035251167E-2</v>
      </c>
      <c r="W70" s="23">
        <f t="shared" si="10"/>
        <v>2.8645051737270499E-3</v>
      </c>
      <c r="X70" s="24">
        <v>3.2232267375269519E-2</v>
      </c>
      <c r="Y70" s="24">
        <f t="shared" si="8"/>
        <v>3.428466189780166E-2</v>
      </c>
      <c r="Z70" s="23">
        <f t="shared" si="9"/>
        <v>2.7934861210490158E-3</v>
      </c>
      <c r="AA70" s="36"/>
    </row>
    <row r="71" spans="4:27" ht="13.9" customHeight="1">
      <c r="D71" s="8"/>
      <c r="E71" s="9"/>
      <c r="F71" s="19"/>
      <c r="G71" s="19"/>
      <c r="H71" s="19"/>
      <c r="J71" s="45"/>
      <c r="K71" s="45"/>
      <c r="L71" s="45"/>
      <c r="M71" s="43"/>
      <c r="O71" s="12">
        <f t="shared" si="4"/>
        <v>4.833333333333333</v>
      </c>
      <c r="P71" s="13">
        <v>58</v>
      </c>
      <c r="Q71" s="22">
        <v>2.8757956952855768E-2</v>
      </c>
      <c r="R71" s="19">
        <f t="shared" si="5"/>
        <v>3.1072884519994126E-2</v>
      </c>
      <c r="S71" s="22">
        <v>2.8757363729735363E-2</v>
      </c>
      <c r="T71" s="19">
        <f t="shared" si="6"/>
        <v>3.1088617835629329E-2</v>
      </c>
      <c r="U71" s="24">
        <v>3.3147683404896267E-2</v>
      </c>
      <c r="V71" s="24">
        <f t="shared" si="7"/>
        <v>3.5470180851493005E-2</v>
      </c>
      <c r="W71" s="23">
        <f t="shared" si="10"/>
        <v>2.8840886691887668E-3</v>
      </c>
      <c r="X71" s="24">
        <v>3.2267618960404976E-2</v>
      </c>
      <c r="Y71" s="24">
        <f t="shared" si="8"/>
        <v>3.4591879876329834E-2</v>
      </c>
      <c r="Z71" s="23">
        <f t="shared" si="9"/>
        <v>2.813119401973152E-3</v>
      </c>
      <c r="AA71" s="36"/>
    </row>
    <row r="72" spans="4:27" ht="13.9" customHeight="1">
      <c r="D72" s="8"/>
      <c r="E72" s="9"/>
      <c r="F72" s="19"/>
      <c r="G72" s="19"/>
      <c r="H72" s="19"/>
      <c r="J72" s="45"/>
      <c r="K72" s="45"/>
      <c r="L72" s="45"/>
      <c r="M72" s="43"/>
      <c r="O72" s="12">
        <f t="shared" si="4"/>
        <v>4.916666666666667</v>
      </c>
      <c r="P72" s="13">
        <v>59</v>
      </c>
      <c r="Q72" s="22">
        <v>2.8797149681169421E-2</v>
      </c>
      <c r="R72" s="19">
        <f t="shared" si="5"/>
        <v>3.1442647417871505E-2</v>
      </c>
      <c r="S72" s="22">
        <v>2.8796832566105213E-2</v>
      </c>
      <c r="T72" s="19">
        <f t="shared" si="6"/>
        <v>3.1461405492716699E-2</v>
      </c>
      <c r="U72" s="24">
        <v>3.3187004337648984E-2</v>
      </c>
      <c r="V72" s="24">
        <f t="shared" si="7"/>
        <v>3.5841230479271013E-2</v>
      </c>
      <c r="W72" s="23">
        <f t="shared" si="10"/>
        <v>2.9088562507328941E-3</v>
      </c>
      <c r="X72" s="24">
        <v>3.2306969679510189E-2</v>
      </c>
      <c r="Y72" s="24">
        <f t="shared" si="8"/>
        <v>3.4963283426364455E-2</v>
      </c>
      <c r="Z72" s="23">
        <f t="shared" si="9"/>
        <v>2.8379385109476019E-3</v>
      </c>
      <c r="AA72" s="36"/>
    </row>
    <row r="73" spans="4:27" ht="13.9" customHeight="1">
      <c r="D73" s="8"/>
      <c r="E73" s="9"/>
      <c r="F73" s="19"/>
      <c r="G73" s="19"/>
      <c r="H73" s="19"/>
      <c r="J73" s="45"/>
      <c r="K73" s="45"/>
      <c r="L73" s="45"/>
      <c r="M73" s="43"/>
      <c r="O73" s="12">
        <f t="shared" si="4"/>
        <v>5</v>
      </c>
      <c r="P73" s="13">
        <v>60</v>
      </c>
      <c r="Q73" s="22">
        <v>2.884118565987559E-2</v>
      </c>
      <c r="R73" s="19">
        <f t="shared" si="5"/>
        <v>3.1861951637215613E-2</v>
      </c>
      <c r="S73" s="22">
        <v>2.8841185659898239E-2</v>
      </c>
      <c r="T73" s="19">
        <f t="shared" si="6"/>
        <v>3.1882828764691284E-2</v>
      </c>
      <c r="U73" s="24">
        <v>3.3231185659867268E-2</v>
      </c>
      <c r="V73" s="24">
        <f t="shared" si="7"/>
        <v>3.6261258186477185E-2</v>
      </c>
      <c r="W73" s="23">
        <f t="shared" si="10"/>
        <v>2.9387998020338202E-3</v>
      </c>
      <c r="X73" s="24">
        <v>3.2351185659898363E-2</v>
      </c>
      <c r="Y73" s="24">
        <f t="shared" si="8"/>
        <v>3.5383597343191964E-2</v>
      </c>
      <c r="Z73" s="23">
        <f t="shared" si="9"/>
        <v>2.8679339379240609E-3</v>
      </c>
      <c r="AA73" s="36"/>
    </row>
    <row r="74" spans="4:27" ht="13.9" customHeight="1">
      <c r="D74" s="8"/>
      <c r="E74" s="9"/>
      <c r="F74" s="19"/>
      <c r="G74" s="19"/>
      <c r="H74" s="19"/>
      <c r="J74" s="45"/>
      <c r="K74" s="45"/>
      <c r="L74" s="45"/>
      <c r="M74" s="43"/>
      <c r="O74" s="12">
        <f t="shared" si="4"/>
        <v>5.083333333333333</v>
      </c>
      <c r="P74" s="13">
        <v>61</v>
      </c>
      <c r="Q74" s="22">
        <v>2.8890635045308422E-2</v>
      </c>
      <c r="R74" s="19">
        <f t="shared" si="5"/>
        <v>3.2269816708976995E-2</v>
      </c>
      <c r="S74" s="22">
        <v>2.8890976304400073E-2</v>
      </c>
      <c r="T74" s="19">
        <f t="shared" si="6"/>
        <v>3.2291822560517547E-2</v>
      </c>
      <c r="U74" s="24">
        <v>3.3280787476190898E-2</v>
      </c>
      <c r="V74" s="24">
        <f t="shared" si="7"/>
        <v>3.6669341819274281E-2</v>
      </c>
      <c r="W74" s="23">
        <f t="shared" si="10"/>
        <v>2.9726840016759404E-3</v>
      </c>
      <c r="X74" s="24">
        <v>3.2400825651790921E-2</v>
      </c>
      <c r="Y74" s="24">
        <f t="shared" si="8"/>
        <v>3.5791868802016458E-2</v>
      </c>
      <c r="Z74" s="23">
        <f t="shared" si="9"/>
        <v>2.9018675821224083E-3</v>
      </c>
      <c r="AA74" s="36"/>
    </row>
    <row r="75" spans="4:27" ht="13.9" customHeight="1">
      <c r="D75" s="8"/>
      <c r="E75" s="9"/>
      <c r="F75" s="19"/>
      <c r="G75" s="19"/>
      <c r="H75" s="19"/>
      <c r="J75" s="45"/>
      <c r="K75" s="45"/>
      <c r="L75" s="45"/>
      <c r="M75" s="43"/>
      <c r="O75" s="12">
        <f t="shared" si="4"/>
        <v>5.166666666666667</v>
      </c>
      <c r="P75" s="13">
        <v>62</v>
      </c>
      <c r="Q75" s="22">
        <v>2.8945050107845871E-2</v>
      </c>
      <c r="R75" s="19">
        <f t="shared" si="5"/>
        <v>3.2650981392704503E-2</v>
      </c>
      <c r="S75" s="22">
        <v>2.8945739666830006E-2</v>
      </c>
      <c r="T75" s="19">
        <f t="shared" si="6"/>
        <v>3.2673249222974432E-2</v>
      </c>
      <c r="U75" s="24">
        <v>3.3335353597990558E-2</v>
      </c>
      <c r="V75" s="24">
        <f t="shared" si="7"/>
        <v>3.7050335697376591E-2</v>
      </c>
      <c r="W75" s="23">
        <f t="shared" si="10"/>
        <v>3.005592601097451E-3</v>
      </c>
      <c r="X75" s="24">
        <v>3.2455431711557736E-2</v>
      </c>
      <c r="Y75" s="24">
        <f t="shared" si="8"/>
        <v>3.6172953311669698E-2</v>
      </c>
      <c r="Z75" s="23">
        <f t="shared" si="9"/>
        <v>2.9348169021767845E-3</v>
      </c>
      <c r="AA75" s="36"/>
    </row>
    <row r="76" spans="4:27" ht="13.9" customHeight="1">
      <c r="D76" s="8"/>
      <c r="E76" s="9"/>
      <c r="F76" s="19"/>
      <c r="G76" s="19"/>
      <c r="H76" s="19"/>
      <c r="J76" s="45"/>
      <c r="K76" s="45"/>
      <c r="L76" s="45"/>
      <c r="M76" s="43"/>
      <c r="O76" s="12">
        <f t="shared" si="4"/>
        <v>5.25</v>
      </c>
      <c r="P76" s="13">
        <v>63</v>
      </c>
      <c r="Q76" s="22">
        <v>2.9003770409925522E-2</v>
      </c>
      <c r="R76" s="19">
        <f t="shared" si="5"/>
        <v>3.3005441589828655E-2</v>
      </c>
      <c r="S76" s="22">
        <v>2.9004801267997316E-2</v>
      </c>
      <c r="T76" s="19">
        <f t="shared" si="6"/>
        <v>3.3027248456918956E-2</v>
      </c>
      <c r="U76" s="24">
        <v>3.3394217498755596E-2</v>
      </c>
      <c r="V76" s="24">
        <f t="shared" si="7"/>
        <v>3.7404336031973129E-2</v>
      </c>
      <c r="W76" s="23">
        <f t="shared" si="10"/>
        <v>3.036305917020421E-3</v>
      </c>
      <c r="X76" s="24">
        <v>3.2514335691094187E-2</v>
      </c>
      <c r="Y76" s="24">
        <f t="shared" si="8"/>
        <v>3.6526955921222237E-2</v>
      </c>
      <c r="Z76" s="23">
        <f t="shared" si="9"/>
        <v>2.9655613740613429E-3</v>
      </c>
      <c r="AA76" s="36"/>
    </row>
    <row r="77" spans="4:27" ht="13.9" customHeight="1">
      <c r="D77" s="8"/>
      <c r="E77" s="9"/>
      <c r="F77" s="19"/>
      <c r="G77" s="19"/>
      <c r="H77" s="19"/>
      <c r="J77" s="45"/>
      <c r="K77" s="45"/>
      <c r="L77" s="45"/>
      <c r="M77" s="43"/>
      <c r="O77" s="12">
        <f t="shared" si="4"/>
        <v>5.333333333333333</v>
      </c>
      <c r="P77" s="13">
        <v>64</v>
      </c>
      <c r="Q77" s="22">
        <v>2.9066177150490979E-2</v>
      </c>
      <c r="R77" s="19">
        <f t="shared" si="5"/>
        <v>3.3333185458872538E-2</v>
      </c>
      <c r="S77" s="22">
        <v>2.9067531392697132E-2</v>
      </c>
      <c r="T77" s="19">
        <f t="shared" si="6"/>
        <v>3.3353950755941275E-2</v>
      </c>
      <c r="U77" s="24">
        <v>3.3456756233353202E-2</v>
      </c>
      <c r="V77" s="24">
        <f t="shared" si="7"/>
        <v>3.7731430470917759E-2</v>
      </c>
      <c r="W77" s="23">
        <f t="shared" si="10"/>
        <v>3.0648339156980065E-3</v>
      </c>
      <c r="X77" s="24">
        <v>3.2576913264328766E-2</v>
      </c>
      <c r="Y77" s="24">
        <f t="shared" si="8"/>
        <v>3.6853972982365812E-2</v>
      </c>
      <c r="Z77" s="23">
        <f t="shared" si="9"/>
        <v>2.9941116947733715E-3</v>
      </c>
      <c r="AA77" s="36"/>
    </row>
    <row r="78" spans="4:27" ht="13.9" customHeight="1">
      <c r="D78" s="8"/>
      <c r="E78" s="9"/>
      <c r="F78" s="19"/>
      <c r="G78" s="19"/>
      <c r="H78" s="19"/>
      <c r="J78" s="45"/>
      <c r="K78" s="45"/>
      <c r="L78" s="45"/>
      <c r="M78" s="43"/>
      <c r="O78" s="12">
        <f t="shared" ref="O78:O141" si="11">P78/12</f>
        <v>5.416666666666667</v>
      </c>
      <c r="P78" s="13">
        <v>65</v>
      </c>
      <c r="Q78" s="22">
        <v>2.9131689791782378E-2</v>
      </c>
      <c r="R78" s="19">
        <f t="shared" ref="R78:R141" si="12">(1+Q79)^P79/(1+Q78)^P78-1</f>
        <v>3.3634193979107163E-2</v>
      </c>
      <c r="S78" s="22">
        <v>2.9133341448802863E-2</v>
      </c>
      <c r="T78" s="19">
        <f t="shared" ref="T78:T141" si="13">(1+S79)^P79/(1+S78)^P78-1</f>
        <v>3.3653478038232709E-2</v>
      </c>
      <c r="U78" s="24">
        <v>3.3522386900306955E-2</v>
      </c>
      <c r="V78" s="24">
        <f t="shared" ref="V78:V141" si="14">(1+U79)^P79/(1+U78)^P78-1</f>
        <v>3.8031698699650951E-2</v>
      </c>
      <c r="W78" s="23">
        <f t="shared" si="10"/>
        <v>3.0911857048860902E-3</v>
      </c>
      <c r="X78" s="24">
        <v>3.2642580368473118E-2</v>
      </c>
      <c r="Y78" s="24">
        <f t="shared" si="8"/>
        <v>3.7154092756919166E-2</v>
      </c>
      <c r="Z78" s="23">
        <f t="shared" si="9"/>
        <v>3.020477689233747E-3</v>
      </c>
      <c r="AA78" s="36"/>
    </row>
    <row r="79" spans="4:27" ht="13.9" customHeight="1">
      <c r="D79" s="8"/>
      <c r="E79" s="9"/>
      <c r="F79" s="19"/>
      <c r="G79" s="19"/>
      <c r="H79" s="19"/>
      <c r="J79" s="45"/>
      <c r="K79" s="45"/>
      <c r="L79" s="45"/>
      <c r="M79" s="43"/>
      <c r="O79" s="12">
        <f t="shared" si="11"/>
        <v>5.5</v>
      </c>
      <c r="P79" s="13">
        <v>66</v>
      </c>
      <c r="Q79" s="22">
        <v>2.919976300485061E-2</v>
      </c>
      <c r="R79" s="19">
        <f t="shared" si="12"/>
        <v>3.3908509225040184E-2</v>
      </c>
      <c r="S79" s="22">
        <v>2.9201680671338215E-2</v>
      </c>
      <c r="T79" s="19">
        <f t="shared" si="13"/>
        <v>3.3925944271927522E-2</v>
      </c>
      <c r="U79" s="24">
        <v>3.3590563438830046E-2</v>
      </c>
      <c r="V79" s="24">
        <f t="shared" si="14"/>
        <v>3.830521303390455E-2</v>
      </c>
      <c r="W79" s="23">
        <f t="shared" ref="W79:W142" si="15">(1+V78)^(1/12)-1</f>
        <v>3.1153695855248298E-3</v>
      </c>
      <c r="X79" s="24">
        <v>3.2710789982101973E-2</v>
      </c>
      <c r="Y79" s="24">
        <f t="shared" ref="Y79:Y142" si="16">(1+X80)^P80/(1+X79)^P79-1</f>
        <v>3.7427396016697978E-2</v>
      </c>
      <c r="Z79" s="23">
        <f t="shared" ref="Z79:Z142" si="17">(1+Y78)^(1/12)-1</f>
        <v>3.0446683627374238E-3</v>
      </c>
      <c r="AA79" s="36"/>
    </row>
    <row r="80" spans="4:27" ht="13.9" customHeight="1">
      <c r="D80" s="8"/>
      <c r="E80" s="9"/>
      <c r="F80" s="19"/>
      <c r="G80" s="19"/>
      <c r="H80" s="19"/>
      <c r="J80" s="45"/>
      <c r="K80" s="45"/>
      <c r="L80" s="45"/>
      <c r="M80" s="43"/>
      <c r="O80" s="12">
        <f t="shared" si="11"/>
        <v>5.583333333333333</v>
      </c>
      <c r="P80" s="13">
        <v>67</v>
      </c>
      <c r="Q80" s="22">
        <v>2.9269884906151011E-2</v>
      </c>
      <c r="R80" s="19">
        <f t="shared" si="12"/>
        <v>3.4156370725371366E-2</v>
      </c>
      <c r="S80" s="22">
        <v>2.9272033134837949E-2</v>
      </c>
      <c r="T80" s="19">
        <f t="shared" si="13"/>
        <v>3.4171456090317021E-2</v>
      </c>
      <c r="U80" s="24">
        <v>3.3660773725055826E-2</v>
      </c>
      <c r="V80" s="24">
        <f t="shared" si="14"/>
        <v>3.8552039007108352E-2</v>
      </c>
      <c r="W80" s="23">
        <f t="shared" si="15"/>
        <v>3.1373931023885859E-3</v>
      </c>
      <c r="X80" s="24">
        <v>3.2781029204290935E-2</v>
      </c>
      <c r="Y80" s="24">
        <f t="shared" si="16"/>
        <v>3.7673956635506212E-2</v>
      </c>
      <c r="Z80" s="23">
        <f t="shared" si="17"/>
        <v>3.0666919524096059E-3</v>
      </c>
      <c r="AA80" s="36"/>
    </row>
    <row r="81" spans="4:27" ht="13.9" customHeight="1">
      <c r="D81" s="8"/>
      <c r="E81" s="9"/>
      <c r="F81" s="19"/>
      <c r="G81" s="19"/>
      <c r="H81" s="19"/>
      <c r="J81" s="45"/>
      <c r="K81" s="45"/>
      <c r="L81" s="45"/>
      <c r="M81" s="43"/>
      <c r="O81" s="12">
        <f t="shared" si="11"/>
        <v>5.666666666666667</v>
      </c>
      <c r="P81" s="13">
        <v>68</v>
      </c>
      <c r="Q81" s="22">
        <v>2.934157744758803E-2</v>
      </c>
      <c r="R81" s="19">
        <f t="shared" si="12"/>
        <v>3.4377810027804712E-2</v>
      </c>
      <c r="S81" s="22">
        <v>2.9343915041692759E-2</v>
      </c>
      <c r="T81" s="19">
        <f t="shared" si="13"/>
        <v>3.4390113398005129E-2</v>
      </c>
      <c r="U81" s="24">
        <v>3.3732536936192714E-2</v>
      </c>
      <c r="V81" s="24">
        <f t="shared" si="14"/>
        <v>3.8772235950729206E-2</v>
      </c>
      <c r="W81" s="23">
        <f t="shared" si="15"/>
        <v>3.1572630939700197E-3</v>
      </c>
      <c r="X81" s="24">
        <v>3.2852816603304191E-2</v>
      </c>
      <c r="Y81" s="24">
        <f t="shared" si="16"/>
        <v>3.7893842175689585E-2</v>
      </c>
      <c r="Z81" s="23">
        <f t="shared" si="17"/>
        <v>3.0865559776820373E-3</v>
      </c>
      <c r="AA81" s="36"/>
    </row>
    <row r="82" spans="4:27" ht="13.9" customHeight="1">
      <c r="D82" s="8"/>
      <c r="E82" s="9"/>
      <c r="F82" s="19"/>
      <c r="G82" s="19"/>
      <c r="H82" s="19"/>
      <c r="J82" s="45"/>
      <c r="K82" s="45"/>
      <c r="L82" s="45"/>
      <c r="M82" s="43"/>
      <c r="O82" s="12">
        <f t="shared" si="11"/>
        <v>5.75</v>
      </c>
      <c r="P82" s="13">
        <v>69</v>
      </c>
      <c r="Q82" s="22">
        <v>2.9414390925671663E-2</v>
      </c>
      <c r="R82" s="19">
        <f t="shared" si="12"/>
        <v>3.4572786165885105E-2</v>
      </c>
      <c r="S82" s="22">
        <v>2.9416872257981508E-2</v>
      </c>
      <c r="T82" s="19">
        <f t="shared" si="13"/>
        <v>3.4582009969102767E-2</v>
      </c>
      <c r="U82" s="24">
        <v>3.3805401154974879E-2</v>
      </c>
      <c r="V82" s="24">
        <f t="shared" si="14"/>
        <v>3.8965857570795626E-2</v>
      </c>
      <c r="W82" s="23">
        <f t="shared" si="15"/>
        <v>3.174985741482228E-3</v>
      </c>
      <c r="X82" s="24">
        <v>3.2925699807059283E-2</v>
      </c>
      <c r="Y82" s="24">
        <f t="shared" si="16"/>
        <v>3.8087114467956429E-2</v>
      </c>
      <c r="Z82" s="23">
        <f t="shared" si="17"/>
        <v>3.104267290010565E-3</v>
      </c>
      <c r="AA82" s="36"/>
    </row>
    <row r="83" spans="4:27" ht="13.9" customHeight="1">
      <c r="D83" s="8"/>
      <c r="E83" s="9"/>
      <c r="F83" s="19"/>
      <c r="G83" s="19"/>
      <c r="H83" s="19"/>
      <c r="J83" s="45"/>
      <c r="K83" s="45"/>
      <c r="L83" s="45"/>
      <c r="M83" s="43"/>
      <c r="O83" s="12">
        <f t="shared" si="11"/>
        <v>5.833333333333333</v>
      </c>
      <c r="P83" s="13">
        <v>70</v>
      </c>
      <c r="Q83" s="22">
        <v>2.9487900891572716E-2</v>
      </c>
      <c r="R83" s="19">
        <f t="shared" si="12"/>
        <v>3.4741253846001019E-2</v>
      </c>
      <c r="S83" s="22">
        <v>2.9490478071610537E-2</v>
      </c>
      <c r="T83" s="19">
        <f t="shared" si="13"/>
        <v>3.4747234037570074E-2</v>
      </c>
      <c r="U83" s="24">
        <v>3.3878941190027989E-2</v>
      </c>
      <c r="V83" s="24">
        <f t="shared" si="14"/>
        <v>3.9132952518966979E-2</v>
      </c>
      <c r="W83" s="23">
        <f t="shared" si="15"/>
        <v>3.1905666172680203E-3</v>
      </c>
      <c r="X83" s="24">
        <v>3.299925331079212E-2</v>
      </c>
      <c r="Y83" s="24">
        <f t="shared" si="16"/>
        <v>3.8253830186603111E-2</v>
      </c>
      <c r="Z83" s="23">
        <f t="shared" si="17"/>
        <v>3.1198321217578151E-3</v>
      </c>
      <c r="AA83" s="36"/>
    </row>
    <row r="84" spans="4:27" ht="13.9" customHeight="1">
      <c r="D84" s="8"/>
      <c r="E84" s="9"/>
      <c r="F84" s="19"/>
      <c r="G84" s="19"/>
      <c r="H84" s="19"/>
      <c r="J84" s="45"/>
      <c r="K84" s="45"/>
      <c r="L84" s="45"/>
      <c r="M84" s="43"/>
      <c r="O84" s="12">
        <f t="shared" si="11"/>
        <v>5.916666666666667</v>
      </c>
      <c r="P84" s="13">
        <v>71</v>
      </c>
      <c r="Q84" s="22">
        <v>2.9561706280212041E-2</v>
      </c>
      <c r="R84" s="19">
        <f t="shared" si="12"/>
        <v>3.488316400607272E-2</v>
      </c>
      <c r="S84" s="22">
        <v>2.9564331150456535E-2</v>
      </c>
      <c r="T84" s="19">
        <f t="shared" si="13"/>
        <v>3.4885868880814463E-2</v>
      </c>
      <c r="U84" s="24">
        <v>3.3952756590523769E-2</v>
      </c>
      <c r="V84" s="24">
        <f t="shared" si="14"/>
        <v>3.9273564960748741E-2</v>
      </c>
      <c r="W84" s="23">
        <f t="shared" si="15"/>
        <v>3.2040107325095324E-3</v>
      </c>
      <c r="X84" s="24">
        <v>3.3073076480181651E-2</v>
      </c>
      <c r="Y84" s="24">
        <f t="shared" si="16"/>
        <v>3.8394041420953151E-2</v>
      </c>
      <c r="Z84" s="23">
        <f t="shared" si="17"/>
        <v>3.1332561344410426E-3</v>
      </c>
      <c r="AA84" s="36"/>
    </row>
    <row r="85" spans="4:27" ht="13.9" customHeight="1">
      <c r="D85" s="8"/>
      <c r="E85" s="9"/>
      <c r="F85" s="19"/>
      <c r="G85" s="19"/>
      <c r="H85" s="19"/>
      <c r="J85" s="45"/>
      <c r="K85" s="45"/>
      <c r="L85" s="45"/>
      <c r="M85" s="43"/>
      <c r="O85" s="12">
        <f t="shared" si="11"/>
        <v>6</v>
      </c>
      <c r="P85" s="13">
        <v>72</v>
      </c>
      <c r="Q85" s="22">
        <v>2.963542770447436E-2</v>
      </c>
      <c r="R85" s="19">
        <f t="shared" si="12"/>
        <v>3.4998531421840617E-2</v>
      </c>
      <c r="S85" s="22">
        <v>2.9638053680734799E-2</v>
      </c>
      <c r="T85" s="19">
        <f t="shared" si="13"/>
        <v>3.4997993397092753E-2</v>
      </c>
      <c r="U85" s="24">
        <v>3.4026469835971351E-2</v>
      </c>
      <c r="V85" s="24">
        <f t="shared" si="14"/>
        <v>3.9387735139502444E-2</v>
      </c>
      <c r="W85" s="23">
        <f t="shared" si="15"/>
        <v>3.2153225844719913E-3</v>
      </c>
      <c r="X85" s="24">
        <v>3.3146791730648051E-2</v>
      </c>
      <c r="Y85" s="24">
        <f t="shared" si="16"/>
        <v>3.8507796241672443E-2</v>
      </c>
      <c r="Z85" s="23">
        <f t="shared" si="17"/>
        <v>3.144544466434418E-3</v>
      </c>
      <c r="AA85" s="36"/>
    </row>
    <row r="86" spans="4:27" ht="13.9" customHeight="1">
      <c r="D86" s="8"/>
      <c r="E86" s="9"/>
      <c r="F86" s="19"/>
      <c r="G86" s="19"/>
      <c r="H86" s="19"/>
      <c r="J86" s="45"/>
      <c r="K86" s="45"/>
      <c r="L86" s="45"/>
      <c r="M86" s="43"/>
      <c r="O86" s="12">
        <f t="shared" si="11"/>
        <v>6.083333333333333</v>
      </c>
      <c r="P86" s="13">
        <v>73</v>
      </c>
      <c r="Q86" s="22">
        <v>2.970870681230231E-2</v>
      </c>
      <c r="R86" s="19">
        <f t="shared" si="12"/>
        <v>3.5087569700493537E-2</v>
      </c>
      <c r="S86" s="22">
        <v>2.9711289668016727E-2</v>
      </c>
      <c r="T86" s="19">
        <f t="shared" si="13"/>
        <v>3.5083682677218508E-2</v>
      </c>
      <c r="U86" s="24">
        <v>3.4099724684097277E-2</v>
      </c>
      <c r="V86" s="24">
        <f t="shared" si="14"/>
        <v>3.9475499938598668E-2</v>
      </c>
      <c r="W86" s="23">
        <f t="shared" si="15"/>
        <v>3.2245062032001393E-3</v>
      </c>
      <c r="X86" s="24">
        <v>3.3220042865666155E-2</v>
      </c>
      <c r="Y86" s="24">
        <f t="shared" si="16"/>
        <v>3.8595139264611111E-2</v>
      </c>
      <c r="Z86" s="23">
        <f t="shared" si="17"/>
        <v>3.1537017800429279E-3</v>
      </c>
      <c r="AA86" s="36"/>
    </row>
    <row r="87" spans="4:27" ht="13.9" customHeight="1">
      <c r="D87" s="8"/>
      <c r="E87" s="9"/>
      <c r="F87" s="19"/>
      <c r="G87" s="19"/>
      <c r="H87" s="19"/>
      <c r="J87" s="45"/>
      <c r="K87" s="45"/>
      <c r="L87" s="45"/>
      <c r="M87" s="43"/>
      <c r="O87" s="12">
        <f t="shared" si="11"/>
        <v>6.166666666666667</v>
      </c>
      <c r="P87" s="13">
        <v>74</v>
      </c>
      <c r="Q87" s="22">
        <v>2.9781207511928365E-2</v>
      </c>
      <c r="R87" s="19">
        <f t="shared" si="12"/>
        <v>3.5150289813813407E-2</v>
      </c>
      <c r="S87" s="22">
        <v>2.9783703385255711E-2</v>
      </c>
      <c r="T87" s="19">
        <f t="shared" si="13"/>
        <v>3.5143008570545975E-2</v>
      </c>
      <c r="U87" s="24">
        <v>3.4172184661664051E-2</v>
      </c>
      <c r="V87" s="24">
        <f t="shared" si="14"/>
        <v>3.9536893439792609E-2</v>
      </c>
      <c r="W87" s="23">
        <f t="shared" si="15"/>
        <v>3.2315651978762627E-3</v>
      </c>
      <c r="X87" s="24">
        <v>3.3292493558843228E-2</v>
      </c>
      <c r="Y87" s="24">
        <f t="shared" si="16"/>
        <v>3.8656112211245652E-2</v>
      </c>
      <c r="Z87" s="23">
        <f t="shared" si="17"/>
        <v>3.1607323081863647E-3</v>
      </c>
      <c r="AA87" s="36"/>
    </row>
    <row r="88" spans="4:27" ht="13.9" customHeight="1">
      <c r="D88" s="8"/>
      <c r="E88" s="9"/>
      <c r="F88" s="19"/>
      <c r="G88" s="19"/>
      <c r="H88" s="19"/>
      <c r="J88" s="45"/>
      <c r="K88" s="45"/>
      <c r="L88" s="45"/>
      <c r="M88" s="43"/>
      <c r="O88" s="12">
        <f t="shared" si="11"/>
        <v>6.25</v>
      </c>
      <c r="P88" s="13">
        <v>75</v>
      </c>
      <c r="Q88" s="22">
        <v>2.9852611775091908E-2</v>
      </c>
      <c r="R88" s="19">
        <f t="shared" si="12"/>
        <v>3.5186634251895166E-2</v>
      </c>
      <c r="S88" s="22">
        <v>2.9854977953864381E-2</v>
      </c>
      <c r="T88" s="19">
        <f t="shared" si="13"/>
        <v>3.5176040246137408E-2</v>
      </c>
      <c r="U88" s="24">
        <v>3.4243531684689854E-2</v>
      </c>
      <c r="V88" s="24">
        <f t="shared" si="14"/>
        <v>3.9571947480933956E-2</v>
      </c>
      <c r="W88" s="23">
        <f t="shared" si="15"/>
        <v>3.2365028027119269E-3</v>
      </c>
      <c r="X88" s="24">
        <v>3.3363825966149951E-2</v>
      </c>
      <c r="Y88" s="24">
        <f t="shared" si="16"/>
        <v>3.8690754466138344E-2</v>
      </c>
      <c r="Z88" s="23">
        <f t="shared" si="17"/>
        <v>3.1656399006427804E-3</v>
      </c>
      <c r="AA88" s="36"/>
    </row>
    <row r="89" spans="4:27" ht="13.9" customHeight="1">
      <c r="D89" s="8"/>
      <c r="E89" s="9"/>
      <c r="F89" s="19"/>
      <c r="G89" s="19"/>
      <c r="H89" s="19"/>
      <c r="J89" s="45"/>
      <c r="K89" s="45"/>
      <c r="L89" s="45"/>
      <c r="M89" s="43"/>
      <c r="O89" s="12">
        <f t="shared" si="11"/>
        <v>6.333333333333333</v>
      </c>
      <c r="P89" s="13">
        <v>76</v>
      </c>
      <c r="Q89" s="22">
        <v>2.9922617528849837E-2</v>
      </c>
      <c r="R89" s="19">
        <f t="shared" si="12"/>
        <v>3.51965445506639E-2</v>
      </c>
      <c r="S89" s="22">
        <v>2.9924814045391823E-2</v>
      </c>
      <c r="T89" s="19">
        <f t="shared" si="13"/>
        <v>3.5182844749930275E-2</v>
      </c>
      <c r="U89" s="24">
        <v>3.4313464796012605E-2</v>
      </c>
      <c r="V89" s="24">
        <f t="shared" si="14"/>
        <v>3.958069221004723E-2</v>
      </c>
      <c r="W89" s="23">
        <f t="shared" si="15"/>
        <v>3.2393219226449776E-3</v>
      </c>
      <c r="X89" s="24">
        <v>3.3433739456148137E-2</v>
      </c>
      <c r="Y89" s="24">
        <f t="shared" si="16"/>
        <v>3.8699103632331422E-2</v>
      </c>
      <c r="Z89" s="23">
        <f t="shared" si="17"/>
        <v>3.1684280699058043E-3</v>
      </c>
      <c r="AA89" s="36"/>
    </row>
    <row r="90" spans="4:27" ht="13.9" customHeight="1">
      <c r="D90" s="8"/>
      <c r="E90" s="9"/>
      <c r="F90" s="19"/>
      <c r="G90" s="19"/>
      <c r="H90" s="19"/>
      <c r="J90" s="45"/>
      <c r="K90" s="45"/>
      <c r="L90" s="45"/>
      <c r="M90" s="43"/>
      <c r="O90" s="12">
        <f t="shared" si="11"/>
        <v>6.416666666666667</v>
      </c>
      <c r="P90" s="13">
        <v>77</v>
      </c>
      <c r="Q90" s="22">
        <v>2.9990937584857713E-2</v>
      </c>
      <c r="R90" s="19">
        <f t="shared" si="12"/>
        <v>3.5179961858973652E-2</v>
      </c>
      <c r="S90" s="22">
        <v>2.9992928692664789E-2</v>
      </c>
      <c r="T90" s="19">
        <f t="shared" si="13"/>
        <v>3.5163487555678996E-2</v>
      </c>
      <c r="U90" s="24">
        <v>3.438169900937571E-2</v>
      </c>
      <c r="V90" s="24">
        <f t="shared" si="14"/>
        <v>3.9563156639329744E-2</v>
      </c>
      <c r="W90" s="23">
        <f t="shared" si="15"/>
        <v>3.2400251786264267E-3</v>
      </c>
      <c r="X90" s="24">
        <v>3.3501949447349855E-2</v>
      </c>
      <c r="Y90" s="24">
        <f t="shared" si="16"/>
        <v>3.8681196083811153E-2</v>
      </c>
      <c r="Z90" s="23">
        <f t="shared" si="17"/>
        <v>3.1691000367570776E-3</v>
      </c>
      <c r="AA90" s="36"/>
    </row>
    <row r="91" spans="4:27" ht="13.9" customHeight="1">
      <c r="D91" s="8"/>
      <c r="E91" s="9"/>
      <c r="F91" s="19"/>
      <c r="G91" s="19"/>
      <c r="H91" s="19"/>
      <c r="J91" s="45"/>
      <c r="K91" s="45"/>
      <c r="L91" s="45"/>
      <c r="M91" s="43"/>
      <c r="O91" s="12">
        <f t="shared" si="11"/>
        <v>6.5</v>
      </c>
      <c r="P91" s="13">
        <v>78</v>
      </c>
      <c r="Q91" s="22">
        <v>3.0057298658877629E-2</v>
      </c>
      <c r="R91" s="19">
        <f t="shared" si="12"/>
        <v>3.5136893852952156E-2</v>
      </c>
      <c r="S91" s="22">
        <v>3.0059054200391788E-2</v>
      </c>
      <c r="T91" s="19">
        <f t="shared" si="13"/>
        <v>3.5118033113964664E-2</v>
      </c>
      <c r="U91" s="24">
        <v>3.4447964250376994E-2</v>
      </c>
      <c r="V91" s="24">
        <f t="shared" si="14"/>
        <v>3.9519369196080012E-2</v>
      </c>
      <c r="W91" s="23">
        <f t="shared" si="15"/>
        <v>3.2386149528056407E-3</v>
      </c>
      <c r="X91" s="24">
        <v>3.3568186342958439E-2</v>
      </c>
      <c r="Y91" s="24">
        <f t="shared" si="16"/>
        <v>3.8637067516944734E-2</v>
      </c>
      <c r="Z91" s="23">
        <f t="shared" si="17"/>
        <v>3.167658775501847E-3</v>
      </c>
      <c r="AA91" s="36"/>
    </row>
    <row r="92" spans="4:27" ht="13.9" customHeight="1">
      <c r="D92" s="8"/>
      <c r="E92" s="9"/>
      <c r="F92" s="19"/>
      <c r="G92" s="19"/>
      <c r="H92" s="19"/>
      <c r="J92" s="45"/>
      <c r="K92" s="45"/>
      <c r="L92" s="45"/>
      <c r="M92" s="43"/>
      <c r="O92" s="12">
        <f t="shared" si="11"/>
        <v>6.583333333333333</v>
      </c>
      <c r="P92" s="13">
        <v>79</v>
      </c>
      <c r="Q92" s="22">
        <v>3.0121441308221142E-2</v>
      </c>
      <c r="R92" s="19">
        <f t="shared" si="12"/>
        <v>3.506754825768299E-2</v>
      </c>
      <c r="S92" s="22">
        <v>3.0122937146300988E-2</v>
      </c>
      <c r="T92" s="19">
        <f t="shared" si="13"/>
        <v>3.5046545395076567E-2</v>
      </c>
      <c r="U92" s="24">
        <v>3.4512004385580664E-2</v>
      </c>
      <c r="V92" s="24">
        <f t="shared" si="14"/>
        <v>3.9449358272640067E-2</v>
      </c>
      <c r="W92" s="23">
        <f t="shared" si="15"/>
        <v>3.2350934333951198E-3</v>
      </c>
      <c r="X92" s="24">
        <v>3.3632194554268802E-2</v>
      </c>
      <c r="Y92" s="24">
        <f t="shared" si="16"/>
        <v>3.8566753497828232E-2</v>
      </c>
      <c r="Z92" s="23">
        <f t="shared" si="17"/>
        <v>3.1641070590473497E-3</v>
      </c>
      <c r="AA92" s="36"/>
    </row>
    <row r="93" spans="4:27" ht="13.9" customHeight="1">
      <c r="D93" s="8"/>
      <c r="E93" s="9"/>
      <c r="F93" s="19"/>
      <c r="G93" s="19"/>
      <c r="H93" s="19"/>
      <c r="J93" s="45"/>
      <c r="K93" s="45"/>
      <c r="L93" s="45"/>
      <c r="M93" s="43"/>
      <c r="O93" s="12">
        <f t="shared" si="11"/>
        <v>6.666666666666667</v>
      </c>
      <c r="P93" s="13">
        <v>80</v>
      </c>
      <c r="Q93" s="22">
        <v>3.0183121536089708E-2</v>
      </c>
      <c r="R93" s="19">
        <f t="shared" si="12"/>
        <v>3.4971935552389422E-2</v>
      </c>
      <c r="S93" s="22">
        <v>3.0184337464743027E-2</v>
      </c>
      <c r="T93" s="19">
        <f t="shared" si="13"/>
        <v>3.4949088428263053E-2</v>
      </c>
      <c r="U93" s="24">
        <v>3.4573576331994316E-2</v>
      </c>
      <c r="V93" s="24">
        <f t="shared" si="14"/>
        <v>3.9353152774896261E-2</v>
      </c>
      <c r="W93" s="23">
        <f t="shared" si="15"/>
        <v>3.2294626594036036E-3</v>
      </c>
      <c r="X93" s="24">
        <v>3.3693731604847343E-2</v>
      </c>
      <c r="Y93" s="24">
        <f t="shared" si="16"/>
        <v>3.8470290009597896E-2</v>
      </c>
      <c r="Z93" s="23">
        <f t="shared" si="17"/>
        <v>3.1584475035959514E-3</v>
      </c>
      <c r="AA93" s="36"/>
    </row>
    <row r="94" spans="4:27" ht="13.9" customHeight="1">
      <c r="D94" s="8"/>
      <c r="E94" s="9"/>
      <c r="F94" s="19"/>
      <c r="G94" s="19"/>
      <c r="H94" s="19"/>
      <c r="J94" s="45"/>
      <c r="K94" s="45"/>
      <c r="L94" s="45"/>
      <c r="M94" s="43"/>
      <c r="O94" s="12">
        <f t="shared" si="11"/>
        <v>6.75</v>
      </c>
      <c r="P94" s="13">
        <v>81</v>
      </c>
      <c r="Q94" s="22">
        <v>3.0242107397198348E-2</v>
      </c>
      <c r="R94" s="19">
        <f t="shared" si="12"/>
        <v>3.4850001800029728E-2</v>
      </c>
      <c r="S94" s="22">
        <v>3.0243027605521666E-2</v>
      </c>
      <c r="T94" s="19">
        <f t="shared" si="13"/>
        <v>3.4825726837801163E-2</v>
      </c>
      <c r="U94" s="24">
        <v>3.4632449239890617E-2</v>
      </c>
      <c r="V94" s="24">
        <f t="shared" si="14"/>
        <v>3.923078266824187E-2</v>
      </c>
      <c r="W94" s="23">
        <f t="shared" si="15"/>
        <v>3.2217245652255144E-3</v>
      </c>
      <c r="X94" s="24">
        <v>3.3752567308450665E-2</v>
      </c>
      <c r="Y94" s="24">
        <f t="shared" si="16"/>
        <v>3.8347713996040866E-2</v>
      </c>
      <c r="Z94" s="23">
        <f t="shared" si="17"/>
        <v>3.1506826133040899E-3</v>
      </c>
      <c r="AA94" s="36"/>
    </row>
    <row r="95" spans="4:27" ht="13.9" customHeight="1">
      <c r="D95" s="8"/>
      <c r="E95" s="9"/>
      <c r="F95" s="19"/>
      <c r="G95" s="19"/>
      <c r="H95" s="19"/>
      <c r="J95" s="45"/>
      <c r="K95" s="45"/>
      <c r="L95" s="45"/>
      <c r="M95" s="43"/>
      <c r="O95" s="12">
        <f t="shared" si="11"/>
        <v>6.833333333333333</v>
      </c>
      <c r="P95" s="13">
        <v>82</v>
      </c>
      <c r="Q95" s="22">
        <v>3.0298177463377041E-2</v>
      </c>
      <c r="R95" s="19">
        <f t="shared" si="12"/>
        <v>3.4701695491959672E-2</v>
      </c>
      <c r="S95" s="22">
        <v>3.0298791761439237E-2</v>
      </c>
      <c r="T95" s="19">
        <f t="shared" si="13"/>
        <v>3.4676526373127237E-2</v>
      </c>
      <c r="U95" s="24">
        <v>3.4688403742633378E-2</v>
      </c>
      <c r="V95" s="24">
        <f t="shared" si="14"/>
        <v>3.9082279522747898E-2</v>
      </c>
      <c r="W95" s="23">
        <f t="shared" si="15"/>
        <v>3.2118810250150176E-3</v>
      </c>
      <c r="X95" s="24">
        <v>3.3808483014292845E-2</v>
      </c>
      <c r="Y95" s="24">
        <f t="shared" si="16"/>
        <v>3.8199063903323172E-2</v>
      </c>
      <c r="Z95" s="23">
        <f t="shared" si="17"/>
        <v>3.1408148246325762E-3</v>
      </c>
      <c r="AA95" s="36"/>
    </row>
    <row r="96" spans="4:27" ht="13.9" customHeight="1">
      <c r="D96" s="8"/>
      <c r="E96" s="9"/>
      <c r="F96" s="19"/>
      <c r="G96" s="19"/>
      <c r="H96" s="19"/>
      <c r="J96" s="45"/>
      <c r="K96" s="45"/>
      <c r="L96" s="45"/>
      <c r="M96" s="43"/>
      <c r="O96" s="12">
        <f t="shared" si="11"/>
        <v>6.916666666666667</v>
      </c>
      <c r="P96" s="13">
        <v>83</v>
      </c>
      <c r="Q96" s="22">
        <v>3.0351120201750792E-2</v>
      </c>
      <c r="R96" s="19">
        <f t="shared" si="12"/>
        <v>3.452696812375744E-2</v>
      </c>
      <c r="S96" s="22">
        <v>3.0351425158646528E-2</v>
      </c>
      <c r="T96" s="19">
        <f t="shared" si="13"/>
        <v>3.4501554435860005E-2</v>
      </c>
      <c r="U96" s="24">
        <v>3.4741231267805484E-2</v>
      </c>
      <c r="V96" s="24">
        <f t="shared" si="14"/>
        <v>3.8907677055034728E-2</v>
      </c>
      <c r="W96" s="23">
        <f t="shared" si="15"/>
        <v>3.1999338970134517E-3</v>
      </c>
      <c r="X96" s="24">
        <v>3.3861270913918773E-2</v>
      </c>
      <c r="Y96" s="24">
        <f t="shared" si="16"/>
        <v>3.8024380219431997E-2</v>
      </c>
      <c r="Z96" s="23">
        <f t="shared" si="17"/>
        <v>3.1288465505545648E-3</v>
      </c>
      <c r="AA96" s="36"/>
    </row>
    <row r="97" spans="4:27" ht="13.9" customHeight="1">
      <c r="D97" s="8"/>
      <c r="E97" s="9"/>
      <c r="F97" s="19"/>
      <c r="G97" s="19"/>
      <c r="H97" s="19"/>
      <c r="J97" s="45"/>
      <c r="K97" s="45"/>
      <c r="L97" s="45"/>
      <c r="M97" s="43"/>
      <c r="O97" s="12">
        <f t="shared" si="11"/>
        <v>7</v>
      </c>
      <c r="P97" s="13">
        <v>84</v>
      </c>
      <c r="Q97" s="22">
        <v>3.0400733404468472E-2</v>
      </c>
      <c r="R97" s="19">
        <f t="shared" si="12"/>
        <v>3.4331461124141427E-2</v>
      </c>
      <c r="S97" s="22">
        <v>3.0400733404488234E-2</v>
      </c>
      <c r="T97" s="19">
        <f t="shared" si="13"/>
        <v>3.4306481527097032E-2</v>
      </c>
      <c r="U97" s="24">
        <v>3.4790733404460816E-2</v>
      </c>
      <c r="V97" s="24">
        <f t="shared" si="14"/>
        <v>3.8712644597521662E-2</v>
      </c>
      <c r="W97" s="23">
        <f t="shared" si="15"/>
        <v>3.1858850676431683E-3</v>
      </c>
      <c r="X97" s="24">
        <v>3.3910733404488802E-2</v>
      </c>
      <c r="Y97" s="24">
        <f t="shared" si="16"/>
        <v>3.7829332693598783E-2</v>
      </c>
      <c r="Z97" s="23">
        <f t="shared" si="17"/>
        <v>3.1147802246123124E-3</v>
      </c>
      <c r="AA97" s="36"/>
    </row>
    <row r="98" spans="4:27" ht="13.9" customHeight="1">
      <c r="D98" s="8"/>
      <c r="E98" s="9"/>
      <c r="F98" s="19"/>
      <c r="G98" s="19"/>
      <c r="H98" s="19"/>
      <c r="J98" s="45"/>
      <c r="K98" s="45"/>
      <c r="L98" s="45"/>
      <c r="M98" s="43"/>
      <c r="O98" s="12">
        <f t="shared" si="11"/>
        <v>7.083333333333333</v>
      </c>
      <c r="P98" s="13">
        <v>85</v>
      </c>
      <c r="Q98" s="22">
        <v>3.0446890312924024E-2</v>
      </c>
      <c r="R98" s="19">
        <f t="shared" si="12"/>
        <v>3.4137892745428555E-2</v>
      </c>
      <c r="S98" s="22">
        <v>3.0446597535534359E-2</v>
      </c>
      <c r="T98" s="19">
        <f t="shared" si="13"/>
        <v>3.411374445173343E-2</v>
      </c>
      <c r="U98" s="24">
        <v>3.4836787344481701E-2</v>
      </c>
      <c r="V98" s="24">
        <f t="shared" si="14"/>
        <v>3.8519729978993889E-2</v>
      </c>
      <c r="W98" s="23">
        <f t="shared" si="15"/>
        <v>3.1701898452052291E-3</v>
      </c>
      <c r="X98" s="24">
        <v>3.395674845320773E-2</v>
      </c>
      <c r="Y98" s="24">
        <f t="shared" si="16"/>
        <v>3.7636447577867216E-2</v>
      </c>
      <c r="Z98" s="23">
        <f t="shared" si="17"/>
        <v>3.0990715450622819E-3</v>
      </c>
      <c r="AA98" s="36"/>
    </row>
    <row r="99" spans="4:27" ht="13.9" customHeight="1">
      <c r="D99" s="8"/>
      <c r="E99" s="9"/>
      <c r="F99" s="19"/>
      <c r="G99" s="19"/>
      <c r="H99" s="19"/>
      <c r="J99" s="45"/>
      <c r="K99" s="45"/>
      <c r="L99" s="45"/>
      <c r="M99" s="43"/>
      <c r="O99" s="12">
        <f t="shared" si="11"/>
        <v>7.166666666666667</v>
      </c>
      <c r="P99" s="13">
        <v>86</v>
      </c>
      <c r="Q99" s="22">
        <v>3.0489733153477472E-2</v>
      </c>
      <c r="R99" s="19">
        <f t="shared" si="12"/>
        <v>3.3951950726627045E-2</v>
      </c>
      <c r="S99" s="22">
        <v>3.0489163961747057E-2</v>
      </c>
      <c r="T99" s="19">
        <f t="shared" si="13"/>
        <v>3.3928912753640406E-2</v>
      </c>
      <c r="U99" s="24">
        <v>3.4879537116074166E-2</v>
      </c>
      <c r="V99" s="24">
        <f t="shared" si="14"/>
        <v>3.8334545371264905E-2</v>
      </c>
      <c r="W99" s="23">
        <f t="shared" si="15"/>
        <v>3.1546623979090693E-3</v>
      </c>
      <c r="X99" s="24">
        <v>3.3999460578015617E-2</v>
      </c>
      <c r="Y99" s="24">
        <f t="shared" si="16"/>
        <v>3.7451328649913407E-2</v>
      </c>
      <c r="Z99" s="23">
        <f t="shared" si="17"/>
        <v>3.0835343594297626E-3</v>
      </c>
      <c r="AA99" s="36"/>
    </row>
    <row r="100" spans="4:27" ht="13.9" customHeight="1">
      <c r="D100" s="8"/>
      <c r="E100" s="9"/>
      <c r="F100" s="19"/>
      <c r="G100" s="19"/>
      <c r="H100" s="19"/>
      <c r="J100" s="45"/>
      <c r="K100" s="45"/>
      <c r="L100" s="45"/>
      <c r="M100" s="43"/>
      <c r="O100" s="12">
        <f t="shared" si="11"/>
        <v>7.25</v>
      </c>
      <c r="P100" s="13">
        <v>87</v>
      </c>
      <c r="Q100" s="22">
        <v>3.0529462820767517E-2</v>
      </c>
      <c r="R100" s="19">
        <f t="shared" si="12"/>
        <v>3.3773640477069877E-2</v>
      </c>
      <c r="S100" s="22">
        <v>3.05286362192565E-2</v>
      </c>
      <c r="T100" s="19">
        <f t="shared" si="13"/>
        <v>3.3751946228399055E-2</v>
      </c>
      <c r="U100" s="24">
        <v>3.4919184469567988E-2</v>
      </c>
      <c r="V100" s="24">
        <f t="shared" si="14"/>
        <v>3.8157064968636023E-2</v>
      </c>
      <c r="W100" s="23">
        <f t="shared" si="15"/>
        <v>3.1397546417417654E-3</v>
      </c>
      <c r="X100" s="24">
        <v>3.4039071900689777E-2</v>
      </c>
      <c r="Y100" s="24">
        <f t="shared" si="16"/>
        <v>3.7273947197012491E-2</v>
      </c>
      <c r="Z100" s="23">
        <f t="shared" si="17"/>
        <v>3.0686202619232272E-3</v>
      </c>
      <c r="AA100" s="36"/>
    </row>
    <row r="101" spans="4:27" ht="13.9" customHeight="1">
      <c r="D101" s="8"/>
      <c r="E101" s="9"/>
      <c r="F101" s="19"/>
      <c r="G101" s="19"/>
      <c r="H101" s="19"/>
      <c r="J101" s="45"/>
      <c r="K101" s="45"/>
      <c r="L101" s="45"/>
      <c r="M101" s="43"/>
      <c r="O101" s="12">
        <f t="shared" si="11"/>
        <v>7.333333333333333</v>
      </c>
      <c r="P101" s="13">
        <v>88</v>
      </c>
      <c r="Q101" s="22">
        <v>3.0566271226984965E-2</v>
      </c>
      <c r="R101" s="19">
        <f t="shared" si="12"/>
        <v>3.3602966985144977E-2</v>
      </c>
      <c r="S101" s="22">
        <v>3.0565208226438711E-2</v>
      </c>
      <c r="T101" s="19">
        <f t="shared" si="13"/>
        <v>3.3582804715726278E-2</v>
      </c>
      <c r="U101" s="24">
        <v>3.4955921780368771E-2</v>
      </c>
      <c r="V101" s="24">
        <f t="shared" si="14"/>
        <v>3.7987262833870439E-2</v>
      </c>
      <c r="W101" s="23">
        <f t="shared" si="15"/>
        <v>3.1254648031338039E-3</v>
      </c>
      <c r="X101" s="24">
        <v>3.4075775118568519E-2</v>
      </c>
      <c r="Y101" s="24">
        <f t="shared" si="16"/>
        <v>3.7104274410465932E-2</v>
      </c>
      <c r="Z101" s="23">
        <f t="shared" si="17"/>
        <v>3.054327244909727E-3</v>
      </c>
      <c r="AA101" s="36"/>
    </row>
    <row r="102" spans="4:27" ht="13.9" customHeight="1">
      <c r="D102" s="8"/>
      <c r="E102" s="9"/>
      <c r="F102" s="19"/>
      <c r="G102" s="19"/>
      <c r="H102" s="19"/>
      <c r="J102" s="45"/>
      <c r="K102" s="45"/>
      <c r="L102" s="45"/>
      <c r="M102" s="43"/>
      <c r="O102" s="12">
        <f t="shared" si="11"/>
        <v>7.416666666666667</v>
      </c>
      <c r="P102" s="13">
        <v>89</v>
      </c>
      <c r="Q102" s="22">
        <v>3.060034179601101E-2</v>
      </c>
      <c r="R102" s="19">
        <f t="shared" si="12"/>
        <v>3.3439934864960996E-2</v>
      </c>
      <c r="S102" s="22">
        <v>3.0599064818343402E-2</v>
      </c>
      <c r="T102" s="19">
        <f t="shared" si="13"/>
        <v>3.3421448148515776E-2</v>
      </c>
      <c r="U102" s="24">
        <v>3.4989932568060933E-2</v>
      </c>
      <c r="V102" s="24">
        <f t="shared" si="14"/>
        <v>3.7825112945037986E-2</v>
      </c>
      <c r="W102" s="23">
        <f t="shared" si="15"/>
        <v>3.1117910841358398E-3</v>
      </c>
      <c r="X102" s="24">
        <v>3.4109754026776518E-2</v>
      </c>
      <c r="Y102" s="24">
        <f t="shared" si="16"/>
        <v>3.6942281433643753E-2</v>
      </c>
      <c r="Z102" s="23">
        <f t="shared" si="17"/>
        <v>3.0406532789541973E-3</v>
      </c>
      <c r="AA102" s="36"/>
    </row>
    <row r="103" spans="4:27" ht="13.9" customHeight="1">
      <c r="D103" s="8"/>
      <c r="E103" s="9"/>
      <c r="F103" s="19"/>
      <c r="G103" s="19"/>
      <c r="H103" s="19"/>
      <c r="J103" s="45"/>
      <c r="K103" s="45"/>
      <c r="L103" s="45"/>
      <c r="M103" s="43"/>
      <c r="O103" s="12">
        <f t="shared" si="11"/>
        <v>7.5</v>
      </c>
      <c r="P103" s="13">
        <v>90</v>
      </c>
      <c r="Q103" s="22">
        <v>3.0631849925444099E-2</v>
      </c>
      <c r="R103" s="19">
        <f t="shared" si="12"/>
        <v>3.3284529923208073E-2</v>
      </c>
      <c r="S103" s="22">
        <v>3.0630382246419341E-2</v>
      </c>
      <c r="T103" s="19">
        <f t="shared" si="13"/>
        <v>3.3267836599611078E-2</v>
      </c>
      <c r="U103" s="24">
        <v>3.5021391981778782E-2</v>
      </c>
      <c r="V103" s="24">
        <f t="shared" si="14"/>
        <v>3.7670589242661867E-2</v>
      </c>
      <c r="W103" s="23">
        <f t="shared" si="15"/>
        <v>3.098731666302923E-3</v>
      </c>
      <c r="X103" s="24">
        <v>3.4141184006528436E-2</v>
      </c>
      <c r="Y103" s="24">
        <f t="shared" si="16"/>
        <v>3.6787939408380765E-2</v>
      </c>
      <c r="Z103" s="23">
        <f t="shared" si="17"/>
        <v>3.02759631682048E-3</v>
      </c>
      <c r="AA103" s="36"/>
    </row>
    <row r="104" spans="4:27" ht="13.9" customHeight="1">
      <c r="D104" s="8"/>
      <c r="E104" s="9"/>
      <c r="F104" s="19"/>
      <c r="G104" s="19"/>
      <c r="H104" s="19"/>
      <c r="J104" s="45"/>
      <c r="K104" s="45"/>
      <c r="L104" s="45"/>
      <c r="M104" s="43"/>
      <c r="O104" s="12">
        <f t="shared" si="11"/>
        <v>7.583333333333333</v>
      </c>
      <c r="P104" s="13">
        <v>91</v>
      </c>
      <c r="Q104" s="22">
        <v>3.0660963216403214E-2</v>
      </c>
      <c r="R104" s="19">
        <f t="shared" si="12"/>
        <v>3.313668220666921E-2</v>
      </c>
      <c r="S104" s="22">
        <v>3.0659328646156281E-2</v>
      </c>
      <c r="T104" s="19">
        <f t="shared" si="13"/>
        <v>3.3121930328982918E-2</v>
      </c>
      <c r="U104" s="24">
        <v>3.5050467254419182E-2</v>
      </c>
      <c r="V104" s="24">
        <f t="shared" si="14"/>
        <v>3.7523665675698537E-2</v>
      </c>
      <c r="W104" s="23">
        <f t="shared" si="15"/>
        <v>3.0862847146091443E-3</v>
      </c>
      <c r="X104" s="24">
        <v>3.4170232482077845E-2</v>
      </c>
      <c r="Y104" s="24">
        <f t="shared" si="16"/>
        <v>3.6641219521412527E-2</v>
      </c>
      <c r="Z104" s="23">
        <f t="shared" si="17"/>
        <v>3.0151542973479994E-3</v>
      </c>
      <c r="AA104" s="36"/>
    </row>
    <row r="105" spans="4:27" ht="13.9" customHeight="1">
      <c r="D105" s="8"/>
      <c r="E105" s="9"/>
      <c r="F105" s="19"/>
      <c r="G105" s="19"/>
      <c r="H105" s="19"/>
      <c r="J105" s="45"/>
      <c r="K105" s="45"/>
      <c r="L105" s="45"/>
      <c r="M105" s="43"/>
      <c r="O105" s="12">
        <f t="shared" si="11"/>
        <v>7.666666666666667</v>
      </c>
      <c r="P105" s="13">
        <v>92</v>
      </c>
      <c r="Q105" s="22">
        <v>3.0687841287726281E-2</v>
      </c>
      <c r="R105" s="19">
        <f t="shared" si="12"/>
        <v>3.2996376891076151E-2</v>
      </c>
      <c r="S105" s="22">
        <v>3.0686064475063057E-2</v>
      </c>
      <c r="T105" s="19">
        <f t="shared" si="13"/>
        <v>3.2983689828894214E-2</v>
      </c>
      <c r="U105" s="24">
        <v>3.5077318128030166E-2</v>
      </c>
      <c r="V105" s="24">
        <f t="shared" si="14"/>
        <v>3.7384316246894755E-2</v>
      </c>
      <c r="W105" s="23">
        <f t="shared" si="15"/>
        <v>3.0744483812714662E-3</v>
      </c>
      <c r="X105" s="24">
        <v>3.4197059348672898E-2</v>
      </c>
      <c r="Y105" s="24">
        <f t="shared" si="16"/>
        <v>3.650209305044938E-2</v>
      </c>
      <c r="Z105" s="23">
        <f t="shared" si="17"/>
        <v>3.0033251493324364E-3</v>
      </c>
      <c r="AA105" s="36"/>
    </row>
    <row r="106" spans="4:27" ht="13.9" customHeight="1">
      <c r="D106" s="8"/>
      <c r="E106" s="9"/>
      <c r="F106" s="19"/>
      <c r="G106" s="19"/>
      <c r="H106" s="19"/>
      <c r="J106" s="45"/>
      <c r="K106" s="45"/>
      <c r="L106" s="45"/>
      <c r="M106" s="43"/>
      <c r="O106" s="12">
        <f t="shared" si="11"/>
        <v>7.75</v>
      </c>
      <c r="P106" s="13">
        <v>93</v>
      </c>
      <c r="Q106" s="22">
        <v>3.0712636791645709E-2</v>
      </c>
      <c r="R106" s="19">
        <f t="shared" si="12"/>
        <v>3.2863617433213532E-2</v>
      </c>
      <c r="S106" s="22">
        <v>3.0710742923171219E-2</v>
      </c>
      <c r="T106" s="19">
        <f t="shared" si="13"/>
        <v>3.2853075869141879E-2</v>
      </c>
      <c r="U106" s="24">
        <v>3.5102097252517117E-2</v>
      </c>
      <c r="V106" s="24">
        <f t="shared" si="14"/>
        <v>3.7252515058340263E-2</v>
      </c>
      <c r="W106" s="23">
        <f t="shared" si="15"/>
        <v>3.0632208095286995E-3</v>
      </c>
      <c r="X106" s="24">
        <v>3.4221817373676799E-2</v>
      </c>
      <c r="Y106" s="24">
        <f t="shared" si="16"/>
        <v>3.6370531408573381E-2</v>
      </c>
      <c r="Z106" s="23">
        <f t="shared" si="17"/>
        <v>2.992106795382643E-3</v>
      </c>
      <c r="AA106" s="36"/>
    </row>
    <row r="107" spans="4:27" ht="13.9" customHeight="1">
      <c r="D107" s="8"/>
      <c r="E107" s="9"/>
      <c r="F107" s="19"/>
      <c r="G107" s="19"/>
      <c r="H107" s="19"/>
      <c r="J107" s="45"/>
      <c r="K107" s="45"/>
      <c r="L107" s="45"/>
      <c r="M107" s="43"/>
      <c r="O107" s="12">
        <f t="shared" si="11"/>
        <v>7.833333333333333</v>
      </c>
      <c r="P107" s="13">
        <v>94</v>
      </c>
      <c r="Q107" s="22">
        <v>3.0735495974198779E-2</v>
      </c>
      <c r="R107" s="19">
        <f t="shared" si="12"/>
        <v>3.2738407148632964E-2</v>
      </c>
      <c r="S107" s="22">
        <v>3.073351029809035E-2</v>
      </c>
      <c r="T107" s="19">
        <f t="shared" si="13"/>
        <v>3.2730049540937056E-2</v>
      </c>
      <c r="U107" s="24">
        <v>3.5124950559638268E-2</v>
      </c>
      <c r="V107" s="24">
        <f t="shared" si="14"/>
        <v>3.7128236355834954E-2</v>
      </c>
      <c r="W107" s="23">
        <f t="shared" si="15"/>
        <v>3.0526001374371337E-3</v>
      </c>
      <c r="X107" s="24">
        <v>3.4244652572813949E-2</v>
      </c>
      <c r="Y107" s="24">
        <f t="shared" si="16"/>
        <v>3.6246506189527183E-2</v>
      </c>
      <c r="Z107" s="23">
        <f t="shared" si="17"/>
        <v>2.9814971556434422E-3</v>
      </c>
      <c r="AA107" s="36"/>
    </row>
    <row r="108" spans="4:27" ht="13.9" customHeight="1">
      <c r="D108" s="8"/>
      <c r="E108" s="9"/>
      <c r="F108" s="19"/>
      <c r="G108" s="19"/>
      <c r="H108" s="19"/>
      <c r="J108" s="45"/>
      <c r="K108" s="45"/>
      <c r="L108" s="45"/>
      <c r="M108" s="43"/>
      <c r="O108" s="12">
        <f t="shared" si="11"/>
        <v>7.916666666666667</v>
      </c>
      <c r="P108" s="13">
        <v>95</v>
      </c>
      <c r="Q108" s="22">
        <v>3.0756559007058426E-2</v>
      </c>
      <c r="R108" s="19">
        <f t="shared" si="12"/>
        <v>3.262074925846159E-2</v>
      </c>
      <c r="S108" s="22">
        <v>3.0754506386457381E-2</v>
      </c>
      <c r="T108" s="19">
        <f t="shared" si="13"/>
        <v>3.2614572300444067E-2</v>
      </c>
      <c r="U108" s="24">
        <v>3.5146017614077874E-2</v>
      </c>
      <c r="V108" s="24">
        <f t="shared" si="14"/>
        <v>3.7011454572952296E-2</v>
      </c>
      <c r="W108" s="23">
        <f t="shared" si="15"/>
        <v>3.0425845015751296E-3</v>
      </c>
      <c r="X108" s="24">
        <v>3.4265704563366528E-2</v>
      </c>
      <c r="Y108" s="24">
        <f t="shared" si="16"/>
        <v>3.612998921111954E-2</v>
      </c>
      <c r="Z108" s="23">
        <f t="shared" si="17"/>
        <v>2.9714941515941451E-3</v>
      </c>
      <c r="AA108" s="36"/>
    </row>
    <row r="109" spans="4:27" ht="13.9" customHeight="1">
      <c r="D109" s="8"/>
      <c r="E109" s="9"/>
      <c r="F109" s="19"/>
      <c r="G109" s="19"/>
      <c r="H109" s="19"/>
      <c r="J109" s="45"/>
      <c r="K109" s="45"/>
      <c r="L109" s="45"/>
      <c r="M109" s="43"/>
      <c r="O109" s="12">
        <f t="shared" si="11"/>
        <v>8</v>
      </c>
      <c r="P109" s="13">
        <v>96</v>
      </c>
      <c r="Q109" s="22">
        <v>3.0775960299296967E-2</v>
      </c>
      <c r="R109" s="19">
        <f t="shared" si="12"/>
        <v>3.2510628685465282E-2</v>
      </c>
      <c r="S109" s="22">
        <v>3.0773864793480543E-2</v>
      </c>
      <c r="T109" s="19">
        <f t="shared" si="13"/>
        <v>3.2506606011412309E-2</v>
      </c>
      <c r="U109" s="24">
        <v>3.516543194325239E-2</v>
      </c>
      <c r="V109" s="24">
        <f t="shared" si="14"/>
        <v>3.6902144374519441E-2</v>
      </c>
      <c r="W109" s="23">
        <f t="shared" si="15"/>
        <v>3.0331720407237306E-3</v>
      </c>
      <c r="X109" s="24">
        <v>3.4285106895966866E-2</v>
      </c>
      <c r="Y109" s="24">
        <f t="shared" si="16"/>
        <v>3.6020952558976971E-2</v>
      </c>
      <c r="Z109" s="23">
        <f t="shared" si="17"/>
        <v>2.9620957096949674E-3</v>
      </c>
      <c r="AA109" s="36"/>
    </row>
    <row r="110" spans="4:27" ht="13.9" customHeight="1">
      <c r="D110" s="8"/>
      <c r="E110" s="9"/>
      <c r="F110" s="19"/>
      <c r="G110" s="19"/>
      <c r="H110" s="19"/>
      <c r="J110" s="45"/>
      <c r="K110" s="45"/>
      <c r="L110" s="45"/>
      <c r="M110" s="43"/>
      <c r="O110" s="12">
        <f t="shared" si="11"/>
        <v>8.0833333333333339</v>
      </c>
      <c r="P110" s="13">
        <v>97</v>
      </c>
      <c r="Q110" s="22">
        <v>3.0793828602677875E-2</v>
      </c>
      <c r="R110" s="19">
        <f t="shared" si="12"/>
        <v>3.2407975565484026E-2</v>
      </c>
      <c r="S110" s="22">
        <v>3.0791713262134035E-2</v>
      </c>
      <c r="T110" s="19">
        <f t="shared" si="13"/>
        <v>3.2406112986547386E-2</v>
      </c>
      <c r="U110" s="24">
        <v>3.5183321347361574E-2</v>
      </c>
      <c r="V110" s="24">
        <f t="shared" si="14"/>
        <v>3.6800280700042709E-2</v>
      </c>
      <c r="W110" s="23">
        <f t="shared" si="15"/>
        <v>3.0243608995033089E-3</v>
      </c>
      <c r="X110" s="24">
        <v>3.43029873665186E-2</v>
      </c>
      <c r="Y110" s="24">
        <f t="shared" si="16"/>
        <v>3.5919368629218296E-2</v>
      </c>
      <c r="Z110" s="23">
        <f t="shared" si="17"/>
        <v>2.95329976506431E-3</v>
      </c>
      <c r="AA110" s="36"/>
    </row>
    <row r="111" spans="4:27" ht="13.9" customHeight="1">
      <c r="D111" s="8"/>
      <c r="E111" s="9"/>
      <c r="F111" s="19"/>
      <c r="G111" s="19"/>
      <c r="H111" s="19"/>
      <c r="J111" s="45"/>
      <c r="K111" s="45"/>
      <c r="L111" s="45"/>
      <c r="M111" s="43"/>
      <c r="O111" s="12">
        <f t="shared" si="11"/>
        <v>8.1666666666666661</v>
      </c>
      <c r="P111" s="13">
        <v>98</v>
      </c>
      <c r="Q111" s="22">
        <v>3.0810286738792048E-2</v>
      </c>
      <c r="R111" s="19">
        <f t="shared" si="12"/>
        <v>3.2312774754867268E-2</v>
      </c>
      <c r="S111" s="22">
        <v>3.0808173973430497E-2</v>
      </c>
      <c r="T111" s="19">
        <f t="shared" si="13"/>
        <v>3.2313056029361409E-2</v>
      </c>
      <c r="U111" s="24">
        <v>3.5199808191083592E-2</v>
      </c>
      <c r="V111" s="24">
        <f t="shared" si="14"/>
        <v>3.670583880566336E-2</v>
      </c>
      <c r="W111" s="23">
        <f t="shared" si="15"/>
        <v>3.0161492320044392E-3</v>
      </c>
      <c r="X111" s="24">
        <v>3.4319468309641721E-2</v>
      </c>
      <c r="Y111" s="24">
        <f t="shared" si="16"/>
        <v>3.5825210170949529E-2</v>
      </c>
      <c r="Z111" s="23">
        <f t="shared" si="17"/>
        <v>2.9451042650676662E-3</v>
      </c>
      <c r="AA111" s="36"/>
    </row>
    <row r="112" spans="4:27" ht="13.9" customHeight="1">
      <c r="D112" s="8"/>
      <c r="E112" s="9"/>
      <c r="F112" s="19"/>
      <c r="G112" s="19"/>
      <c r="H112" s="19"/>
      <c r="J112" s="45"/>
      <c r="K112" s="45"/>
      <c r="L112" s="45"/>
      <c r="M112" s="43"/>
      <c r="O112" s="12">
        <f t="shared" si="11"/>
        <v>8.25</v>
      </c>
      <c r="P112" s="13">
        <v>99</v>
      </c>
      <c r="Q112" s="22">
        <v>3.0825452447130974E-2</v>
      </c>
      <c r="R112" s="19">
        <f t="shared" si="12"/>
        <v>3.2225029434409747E-2</v>
      </c>
      <c r="S112" s="22">
        <v>3.0823363829099115E-2</v>
      </c>
      <c r="T112" s="19">
        <f t="shared" si="13"/>
        <v>3.2227398473805069E-2</v>
      </c>
      <c r="U112" s="24">
        <v>3.521500967818425E-2</v>
      </c>
      <c r="V112" s="24">
        <f t="shared" si="14"/>
        <v>3.6618794306946922E-2</v>
      </c>
      <c r="W112" s="23">
        <f t="shared" si="15"/>
        <v>3.0085352053035308E-3</v>
      </c>
      <c r="X112" s="24">
        <v>3.4334666874934916E-2</v>
      </c>
      <c r="Y112" s="24">
        <f t="shared" si="16"/>
        <v>3.5738450327887916E-2</v>
      </c>
      <c r="Z112" s="23">
        <f t="shared" si="17"/>
        <v>2.9375071728947599E-3</v>
      </c>
      <c r="AA112" s="36"/>
    </row>
    <row r="113" spans="4:27" ht="13.9" customHeight="1">
      <c r="D113" s="8"/>
      <c r="E113" s="9"/>
      <c r="F113" s="19"/>
      <c r="G113" s="19"/>
      <c r="H113" s="19"/>
      <c r="J113" s="45"/>
      <c r="K113" s="45"/>
      <c r="L113" s="45"/>
      <c r="M113" s="43"/>
      <c r="O113" s="12">
        <f t="shared" si="11"/>
        <v>8.3333333333333339</v>
      </c>
      <c r="P113" s="13">
        <v>100</v>
      </c>
      <c r="Q113" s="22">
        <v>3.0839438819278753E-2</v>
      </c>
      <c r="R113" s="19">
        <f t="shared" si="12"/>
        <v>3.2144742915287461E-2</v>
      </c>
      <c r="S113" s="22">
        <v>3.083739471787017E-2</v>
      </c>
      <c r="T113" s="19">
        <f t="shared" si="13"/>
        <v>3.2149104224538538E-2</v>
      </c>
      <c r="U113" s="24">
        <v>3.5229038110233812E-2</v>
      </c>
      <c r="V113" s="24">
        <f t="shared" si="14"/>
        <v>3.6539123220104663E-2</v>
      </c>
      <c r="W113" s="23">
        <f t="shared" si="15"/>
        <v>3.0015170030432969E-3</v>
      </c>
      <c r="X113" s="24">
        <v>3.4348695287236719E-2</v>
      </c>
      <c r="Y113" s="24">
        <f t="shared" si="16"/>
        <v>3.56590626798301E-2</v>
      </c>
      <c r="Z113" s="23">
        <f t="shared" si="17"/>
        <v>2.9305064710622997E-3</v>
      </c>
      <c r="AA113" s="36"/>
    </row>
    <row r="114" spans="4:27" ht="13.9" customHeight="1">
      <c r="D114" s="8"/>
      <c r="E114" s="9"/>
      <c r="F114" s="19"/>
      <c r="G114" s="19"/>
      <c r="H114" s="19"/>
      <c r="J114" s="45"/>
      <c r="K114" s="45"/>
      <c r="L114" s="45"/>
      <c r="M114" s="43"/>
      <c r="O114" s="12">
        <f t="shared" si="11"/>
        <v>8.4166666666666661</v>
      </c>
      <c r="P114" s="13">
        <v>101</v>
      </c>
      <c r="Q114" s="22">
        <v>3.0852354527616477E-2</v>
      </c>
      <c r="R114" s="19">
        <f t="shared" si="12"/>
        <v>3.2071918684472456E-2</v>
      </c>
      <c r="S114" s="22">
        <v>3.0850373766494021E-2</v>
      </c>
      <c r="T114" s="19">
        <f t="shared" si="13"/>
        <v>3.2078137795527484E-2</v>
      </c>
      <c r="U114" s="24">
        <v>3.5242001130507461E-2</v>
      </c>
      <c r="V114" s="24">
        <f t="shared" si="14"/>
        <v>3.6466802003046528E-2</v>
      </c>
      <c r="W114" s="23">
        <f t="shared" si="15"/>
        <v>2.9950928288871026E-3</v>
      </c>
      <c r="X114" s="24">
        <v>3.4361661091983242E-2</v>
      </c>
      <c r="Y114" s="24">
        <f t="shared" si="16"/>
        <v>3.5587021283352227E-2</v>
      </c>
      <c r="Z114" s="23">
        <f t="shared" si="17"/>
        <v>2.9241001649074061E-3</v>
      </c>
      <c r="AA114" s="36"/>
    </row>
    <row r="115" spans="4:27" ht="13.9" customHeight="1">
      <c r="D115" s="8"/>
      <c r="E115" s="9"/>
      <c r="F115" s="19"/>
      <c r="G115" s="19"/>
      <c r="H115" s="19"/>
      <c r="J115" s="45"/>
      <c r="K115" s="45"/>
      <c r="L115" s="45"/>
      <c r="M115" s="43"/>
      <c r="O115" s="12">
        <f t="shared" si="11"/>
        <v>8.5</v>
      </c>
      <c r="P115" s="13">
        <v>102</v>
      </c>
      <c r="Q115" s="22">
        <v>3.0864304041131385E-2</v>
      </c>
      <c r="R115" s="19">
        <f t="shared" si="12"/>
        <v>3.2006542428737461E-2</v>
      </c>
      <c r="S115" s="22">
        <v>3.0862403576518815E-2</v>
      </c>
      <c r="T115" s="19">
        <f t="shared" si="13"/>
        <v>3.2014464349114924E-2</v>
      </c>
      <c r="U115" s="24">
        <v>3.5254001954074798E-2</v>
      </c>
      <c r="V115" s="24">
        <f t="shared" si="14"/>
        <v>3.6401807596941005E-2</v>
      </c>
      <c r="W115" s="23">
        <f t="shared" si="15"/>
        <v>2.9892609099591017E-3</v>
      </c>
      <c r="X115" s="24">
        <v>3.4373667386668361E-2</v>
      </c>
      <c r="Y115" s="24">
        <f t="shared" si="16"/>
        <v>3.5522300712344412E-2</v>
      </c>
      <c r="Z115" s="23">
        <f t="shared" si="17"/>
        <v>2.9182862860137604E-3</v>
      </c>
      <c r="AA115" s="36"/>
    </row>
    <row r="116" spans="4:27" ht="13.9" customHeight="1">
      <c r="D116" s="8"/>
      <c r="E116" s="9"/>
      <c r="F116" s="19"/>
      <c r="G116" s="19"/>
      <c r="H116" s="19"/>
      <c r="J116" s="45"/>
      <c r="K116" s="45"/>
      <c r="L116" s="45"/>
      <c r="M116" s="43"/>
      <c r="O116" s="12">
        <f t="shared" si="11"/>
        <v>8.5833333333333339</v>
      </c>
      <c r="P116" s="13">
        <v>103</v>
      </c>
      <c r="Q116" s="22">
        <v>3.0875387654424324E-2</v>
      </c>
      <c r="R116" s="19">
        <f t="shared" si="12"/>
        <v>3.1948546002083411E-2</v>
      </c>
      <c r="S116" s="22">
        <v>3.0873582447787706E-2</v>
      </c>
      <c r="T116" s="19">
        <f t="shared" si="13"/>
        <v>3.1958049732824012E-2</v>
      </c>
      <c r="U116" s="24">
        <v>3.5265139585013872E-2</v>
      </c>
      <c r="V116" s="24">
        <f t="shared" si="14"/>
        <v>3.634411746544508E-2</v>
      </c>
      <c r="W116" s="23">
        <f t="shared" si="15"/>
        <v>2.9840195003225656E-3</v>
      </c>
      <c r="X116" s="24">
        <v>3.4384813039340045E-2</v>
      </c>
      <c r="Y116" s="24">
        <f t="shared" si="16"/>
        <v>3.546487609736193E-2</v>
      </c>
      <c r="Z116" s="23">
        <f t="shared" si="17"/>
        <v>2.91306289562554E-3</v>
      </c>
      <c r="AA116" s="36"/>
    </row>
    <row r="117" spans="4:27" ht="13.9" customHeight="1">
      <c r="D117" s="8"/>
      <c r="E117" s="9"/>
      <c r="F117" s="19"/>
      <c r="G117" s="19"/>
      <c r="H117" s="19"/>
      <c r="J117" s="45"/>
      <c r="K117" s="45"/>
      <c r="L117" s="45"/>
      <c r="M117" s="43"/>
      <c r="O117" s="12">
        <f t="shared" si="11"/>
        <v>8.6666666666666661</v>
      </c>
      <c r="P117" s="13">
        <v>104</v>
      </c>
      <c r="Q117" s="22">
        <v>3.0885701168969382E-2</v>
      </c>
      <c r="R117" s="19">
        <f t="shared" si="12"/>
        <v>3.1897915562949297E-2</v>
      </c>
      <c r="S117" s="22">
        <v>3.0884004589520897E-2</v>
      </c>
      <c r="T117" s="19">
        <f t="shared" si="13"/>
        <v>3.1908860517589455E-2</v>
      </c>
      <c r="U117" s="24">
        <v>3.5275509021585494E-2</v>
      </c>
      <c r="V117" s="24">
        <f t="shared" si="14"/>
        <v>3.6293709635579541E-2</v>
      </c>
      <c r="W117" s="23">
        <f t="shared" si="15"/>
        <v>2.9793668842699184E-3</v>
      </c>
      <c r="X117" s="24">
        <v>3.4395192894987048E-2</v>
      </c>
      <c r="Y117" s="24">
        <f t="shared" si="16"/>
        <v>3.5414723166094397E-2</v>
      </c>
      <c r="Z117" s="23">
        <f t="shared" si="17"/>
        <v>2.9084280879614344E-3</v>
      </c>
      <c r="AA117" s="36"/>
    </row>
    <row r="118" spans="4:27" ht="13.9" customHeight="1">
      <c r="D118" s="8"/>
      <c r="E118" s="9"/>
      <c r="F118" s="19"/>
      <c r="G118" s="19"/>
      <c r="H118" s="19"/>
      <c r="J118" s="45"/>
      <c r="K118" s="45"/>
      <c r="L118" s="45"/>
      <c r="M118" s="43"/>
      <c r="O118" s="12">
        <f t="shared" si="11"/>
        <v>8.75</v>
      </c>
      <c r="P118" s="13">
        <v>105</v>
      </c>
      <c r="Q118" s="22">
        <v>3.0895336621412639E-2</v>
      </c>
      <c r="R118" s="19">
        <f t="shared" si="12"/>
        <v>3.1854655630377593E-2</v>
      </c>
      <c r="S118" s="22">
        <v>3.0893760319814501E-2</v>
      </c>
      <c r="T118" s="19">
        <f t="shared" si="13"/>
        <v>3.1866864033652798E-2</v>
      </c>
      <c r="U118" s="24">
        <v>3.5285201450178993E-2</v>
      </c>
      <c r="V118" s="24">
        <f t="shared" si="14"/>
        <v>3.6250562736986236E-2</v>
      </c>
      <c r="W118" s="23">
        <f t="shared" si="15"/>
        <v>2.9753013797417793E-3</v>
      </c>
      <c r="X118" s="24">
        <v>3.4404897970624848E-2</v>
      </c>
      <c r="Y118" s="24">
        <f t="shared" si="16"/>
        <v>3.5371818281139333E-2</v>
      </c>
      <c r="Z118" s="23">
        <f t="shared" si="17"/>
        <v>2.9043799936172565E-3</v>
      </c>
      <c r="AA118" s="36"/>
    </row>
    <row r="119" spans="4:27" ht="13.9" customHeight="1">
      <c r="D119" s="8"/>
      <c r="E119" s="9"/>
      <c r="F119" s="19"/>
      <c r="G119" s="19"/>
      <c r="H119" s="19"/>
      <c r="J119" s="45"/>
      <c r="K119" s="45"/>
      <c r="L119" s="45"/>
      <c r="M119" s="43"/>
      <c r="O119" s="12">
        <f t="shared" si="11"/>
        <v>8.8333333333333339</v>
      </c>
      <c r="P119" s="13">
        <v>106</v>
      </c>
      <c r="Q119" s="22">
        <v>3.0904382632134686E-2</v>
      </c>
      <c r="R119" s="19">
        <f t="shared" si="12"/>
        <v>3.1818771116603362E-2</v>
      </c>
      <c r="S119" s="22">
        <v>3.090293625429319E-2</v>
      </c>
      <c r="T119" s="19">
        <f t="shared" si="13"/>
        <v>3.1832028407143831E-2</v>
      </c>
      <c r="U119" s="24">
        <v>3.5294304428749257E-2</v>
      </c>
      <c r="V119" s="24">
        <f t="shared" si="14"/>
        <v>3.6214656041142934E-2</v>
      </c>
      <c r="W119" s="23">
        <f t="shared" si="15"/>
        <v>2.9718213416130013E-3</v>
      </c>
      <c r="X119" s="24">
        <v>3.4414015639796069E-2</v>
      </c>
      <c r="Y119" s="24">
        <f t="shared" si="16"/>
        <v>3.53361384797648E-2</v>
      </c>
      <c r="Z119" s="23">
        <f t="shared" si="17"/>
        <v>2.9009167827473981E-3</v>
      </c>
      <c r="AA119" s="36"/>
    </row>
    <row r="120" spans="4:27" ht="13.9" customHeight="1">
      <c r="D120" s="8"/>
      <c r="E120" s="9"/>
      <c r="F120" s="19"/>
      <c r="G120" s="19"/>
      <c r="H120" s="19"/>
      <c r="J120" s="45"/>
      <c r="K120" s="45"/>
      <c r="L120" s="45"/>
      <c r="M120" s="43"/>
      <c r="O120" s="12">
        <f t="shared" si="11"/>
        <v>8.9166666666666661</v>
      </c>
      <c r="P120" s="13">
        <v>107</v>
      </c>
      <c r="Q120" s="22">
        <v>3.0912924566619537E-2</v>
      </c>
      <c r="R120" s="19">
        <f t="shared" si="12"/>
        <v>3.1790267372063141E-2</v>
      </c>
      <c r="S120" s="22">
        <v>3.0911615484624511E-2</v>
      </c>
      <c r="T120" s="19">
        <f t="shared" si="13"/>
        <v>3.1804322595324397E-2</v>
      </c>
      <c r="U120" s="24">
        <v>3.5302902060425412E-2</v>
      </c>
      <c r="V120" s="24">
        <f t="shared" si="14"/>
        <v>3.6185969500259096E-2</v>
      </c>
      <c r="W120" s="23">
        <f t="shared" si="15"/>
        <v>2.9689251649718251E-3</v>
      </c>
      <c r="X120" s="24">
        <v>3.4422629807189908E-2</v>
      </c>
      <c r="Y120" s="24">
        <f t="shared" si="16"/>
        <v>3.5307661511561284E-2</v>
      </c>
      <c r="Z120" s="23">
        <f t="shared" si="17"/>
        <v>2.8980366684032699E-3</v>
      </c>
      <c r="AA120" s="36"/>
    </row>
    <row r="121" spans="4:27" ht="13.9" customHeight="1">
      <c r="D121" s="8"/>
      <c r="E121" s="9"/>
      <c r="F121" s="19"/>
      <c r="G121" s="19"/>
      <c r="H121" s="19"/>
      <c r="J121" s="45"/>
      <c r="K121" s="45"/>
      <c r="L121" s="45"/>
      <c r="M121" s="43"/>
      <c r="O121" s="12">
        <f t="shared" si="11"/>
        <v>9</v>
      </c>
      <c r="P121" s="13">
        <v>108</v>
      </c>
      <c r="Q121" s="22">
        <v>3.0921044688344113E-2</v>
      </c>
      <c r="R121" s="19">
        <f t="shared" si="12"/>
        <v>3.1769132432558189E-2</v>
      </c>
      <c r="S121" s="22">
        <v>3.0919877747534352E-2</v>
      </c>
      <c r="T121" s="19">
        <f t="shared" si="13"/>
        <v>3.1783716421659891E-2</v>
      </c>
      <c r="U121" s="24">
        <v>3.5311075157919314E-2</v>
      </c>
      <c r="V121" s="24">
        <f t="shared" si="14"/>
        <v>3.6164483786006008E-2</v>
      </c>
      <c r="W121" s="23">
        <f t="shared" si="15"/>
        <v>2.9666112883710571E-3</v>
      </c>
      <c r="X121" s="24">
        <v>3.4430821073994977E-2</v>
      </c>
      <c r="Y121" s="24">
        <f t="shared" si="16"/>
        <v>3.5286365876737946E-2</v>
      </c>
      <c r="Z121" s="23">
        <f t="shared" si="17"/>
        <v>2.8957379096974378E-3</v>
      </c>
      <c r="AA121" s="36"/>
    </row>
    <row r="122" spans="4:27" ht="13.9" customHeight="1">
      <c r="D122" s="8"/>
      <c r="E122" s="9"/>
      <c r="F122" s="19"/>
      <c r="G122" s="19"/>
      <c r="H122" s="19"/>
      <c r="J122" s="45"/>
      <c r="K122" s="45"/>
      <c r="L122" s="45"/>
      <c r="M122" s="43"/>
      <c r="O122" s="12">
        <f t="shared" si="11"/>
        <v>9.0833333333333339</v>
      </c>
      <c r="P122" s="13">
        <v>109</v>
      </c>
      <c r="Q122" s="22">
        <v>3.0928822140575685E-2</v>
      </c>
      <c r="R122" s="19">
        <f t="shared" si="12"/>
        <v>3.1755301431450889E-2</v>
      </c>
      <c r="S122" s="22">
        <v>3.0927799584925086E-2</v>
      </c>
      <c r="T122" s="19">
        <f t="shared" si="13"/>
        <v>3.1770180610953824E-2</v>
      </c>
      <c r="U122" s="24">
        <v>3.5318901399317815E-2</v>
      </c>
      <c r="V122" s="24">
        <f t="shared" si="14"/>
        <v>3.6150180327846115E-2</v>
      </c>
      <c r="W122" s="23">
        <f t="shared" si="15"/>
        <v>2.9648781970588178E-3</v>
      </c>
      <c r="X122" s="24">
        <v>3.4438666894581527E-2</v>
      </c>
      <c r="Y122" s="24">
        <f t="shared" si="16"/>
        <v>3.5272230863253817E-2</v>
      </c>
      <c r="Z122" s="23">
        <f t="shared" si="17"/>
        <v>2.8940188150146096E-3</v>
      </c>
      <c r="AA122" s="36"/>
    </row>
    <row r="123" spans="4:27" ht="13.9" customHeight="1">
      <c r="D123" s="8"/>
      <c r="E123" s="9"/>
      <c r="F123" s="19"/>
      <c r="G123" s="19"/>
      <c r="H123" s="19"/>
      <c r="J123" s="45"/>
      <c r="K123" s="45"/>
      <c r="L123" s="45"/>
      <c r="M123" s="43"/>
      <c r="O123" s="12">
        <f t="shared" si="11"/>
        <v>9.1666666666666661</v>
      </c>
      <c r="P123" s="13">
        <v>110</v>
      </c>
      <c r="Q123" s="22">
        <v>3.0936332605934425E-2</v>
      </c>
      <c r="R123" s="19">
        <f t="shared" si="12"/>
        <v>3.1748763391386881E-2</v>
      </c>
      <c r="S123" s="22">
        <v>3.0935454495659043E-2</v>
      </c>
      <c r="T123" s="19">
        <f t="shared" si="13"/>
        <v>3.1763686823121473E-2</v>
      </c>
      <c r="U123" s="24">
        <v>3.532645547579949E-2</v>
      </c>
      <c r="V123" s="24">
        <f t="shared" si="14"/>
        <v>3.6143041350740868E-2</v>
      </c>
      <c r="W123" s="23">
        <f t="shared" si="15"/>
        <v>2.9637244261757623E-3</v>
      </c>
      <c r="X123" s="24">
        <v>3.4446241725049065E-2</v>
      </c>
      <c r="Y123" s="24">
        <f t="shared" si="16"/>
        <v>3.5265236584696602E-2</v>
      </c>
      <c r="Z123" s="23">
        <f t="shared" si="17"/>
        <v>2.8928777451251442E-3</v>
      </c>
      <c r="AA123" s="36"/>
    </row>
    <row r="124" spans="4:27" ht="13.9" customHeight="1">
      <c r="D124" s="8"/>
      <c r="E124" s="9"/>
      <c r="F124" s="19"/>
      <c r="G124" s="19"/>
      <c r="H124" s="19"/>
      <c r="J124" s="45"/>
      <c r="K124" s="45"/>
      <c r="L124" s="45"/>
      <c r="M124" s="43"/>
      <c r="O124" s="12">
        <f t="shared" si="11"/>
        <v>9.25</v>
      </c>
      <c r="P124" s="13">
        <v>111</v>
      </c>
      <c r="Q124" s="22">
        <v>3.0943648945723767E-2</v>
      </c>
      <c r="R124" s="19">
        <f t="shared" si="12"/>
        <v>3.1749525728743677E-2</v>
      </c>
      <c r="S124" s="22">
        <v>3.0942913079514689E-2</v>
      </c>
      <c r="T124" s="19">
        <f t="shared" si="13"/>
        <v>3.1764207687190238E-2</v>
      </c>
      <c r="U124" s="24">
        <v>3.5333809231772539E-2</v>
      </c>
      <c r="V124" s="24">
        <f t="shared" si="14"/>
        <v>3.6143049913808678E-2</v>
      </c>
      <c r="W124" s="23">
        <f t="shared" si="15"/>
        <v>2.9631485638947908E-3</v>
      </c>
      <c r="X124" s="24">
        <v>3.4453617164153849E-2</v>
      </c>
      <c r="Y124" s="24">
        <f t="shared" si="16"/>
        <v>3.5265364017270651E-2</v>
      </c>
      <c r="Z124" s="23">
        <f t="shared" si="17"/>
        <v>2.8923131163522964E-3</v>
      </c>
      <c r="AA124" s="36"/>
    </row>
    <row r="125" spans="4:27" ht="13.9" customHeight="1">
      <c r="D125" s="8"/>
      <c r="E125" s="9"/>
      <c r="F125" s="19"/>
      <c r="G125" s="19"/>
      <c r="H125" s="19"/>
      <c r="J125" s="45"/>
      <c r="K125" s="45"/>
      <c r="L125" s="45"/>
      <c r="M125" s="43"/>
      <c r="O125" s="12">
        <f t="shared" si="11"/>
        <v>9.3333333333333339</v>
      </c>
      <c r="P125" s="13">
        <v>112</v>
      </c>
      <c r="Q125" s="22">
        <v>3.0950841488445402E-2</v>
      </c>
      <c r="R125" s="19">
        <f t="shared" si="12"/>
        <v>3.1757596509689234E-2</v>
      </c>
      <c r="S125" s="22">
        <v>3.0950243173801573E-2</v>
      </c>
      <c r="T125" s="19">
        <f t="shared" si="13"/>
        <v>3.1771716834659181E-2</v>
      </c>
      <c r="U125" s="24">
        <v>3.5341031797913036E-2</v>
      </c>
      <c r="V125" s="24">
        <f t="shared" si="14"/>
        <v>3.6150189946809297E-2</v>
      </c>
      <c r="W125" s="23">
        <f t="shared" si="15"/>
        <v>2.9631492546327021E-3</v>
      </c>
      <c r="X125" s="24">
        <v>3.4460862087081212E-2</v>
      </c>
      <c r="Y125" s="24">
        <f t="shared" si="16"/>
        <v>3.5272595036372367E-2</v>
      </c>
      <c r="Z125" s="23">
        <f t="shared" si="17"/>
        <v>2.8923234036630774E-3</v>
      </c>
      <c r="AA125" s="36"/>
    </row>
    <row r="126" spans="4:27" ht="13.9" customHeight="1">
      <c r="D126" s="8"/>
      <c r="E126" s="9"/>
      <c r="F126" s="19"/>
      <c r="G126" s="19"/>
      <c r="H126" s="19"/>
      <c r="J126" s="45"/>
      <c r="K126" s="45"/>
      <c r="L126" s="45"/>
      <c r="M126" s="43"/>
      <c r="O126" s="12">
        <f t="shared" si="11"/>
        <v>9.4166666666666661</v>
      </c>
      <c r="P126" s="13">
        <v>113</v>
      </c>
      <c r="Q126" s="22">
        <v>3.0957978146145315E-2</v>
      </c>
      <c r="R126" s="19">
        <f t="shared" si="12"/>
        <v>3.1772984495472834E-2</v>
      </c>
      <c r="S126" s="22">
        <v>3.0957509983080334E-2</v>
      </c>
      <c r="T126" s="19">
        <f t="shared" si="13"/>
        <v>3.178618893287144E-2</v>
      </c>
      <c r="U126" s="24">
        <v>3.5348189717520961E-2</v>
      </c>
      <c r="V126" s="24">
        <f t="shared" si="14"/>
        <v>3.6164446288604379E-2</v>
      </c>
      <c r="W126" s="23">
        <f t="shared" si="15"/>
        <v>2.9637252020826566E-3</v>
      </c>
      <c r="X126" s="24">
        <v>3.4468042772496377E-2</v>
      </c>
      <c r="Y126" s="24">
        <f t="shared" si="16"/>
        <v>3.5286912453170283E-2</v>
      </c>
      <c r="Z126" s="23">
        <f t="shared" si="17"/>
        <v>2.8929071437184817E-3</v>
      </c>
      <c r="AA126" s="36"/>
    </row>
    <row r="127" spans="4:27" ht="13.9" customHeight="1">
      <c r="D127" s="8"/>
      <c r="E127" s="9"/>
      <c r="F127" s="19"/>
      <c r="G127" s="19"/>
      <c r="H127" s="19"/>
      <c r="J127" s="45"/>
      <c r="K127" s="45"/>
      <c r="L127" s="45"/>
      <c r="M127" s="43"/>
      <c r="O127" s="12">
        <f t="shared" si="11"/>
        <v>9.5</v>
      </c>
      <c r="P127" s="13">
        <v>114</v>
      </c>
      <c r="Q127" s="22">
        <v>3.0965124525074161E-2</v>
      </c>
      <c r="R127" s="19">
        <f t="shared" si="12"/>
        <v>3.1795681607106108E-2</v>
      </c>
      <c r="S127" s="22">
        <v>3.0964776202405453E-2</v>
      </c>
      <c r="T127" s="19">
        <f t="shared" si="13"/>
        <v>3.1807599717682766E-2</v>
      </c>
      <c r="U127" s="24">
        <v>3.535534706661525E-2</v>
      </c>
      <c r="V127" s="24">
        <f t="shared" si="14"/>
        <v>3.6185804724018666E-2</v>
      </c>
      <c r="W127" s="23">
        <f t="shared" si="15"/>
        <v>2.9648751723960753E-3</v>
      </c>
      <c r="X127" s="24">
        <v>3.4475223023283874E-2</v>
      </c>
      <c r="Y127" s="24">
        <f t="shared" si="16"/>
        <v>3.5308300051612784E-2</v>
      </c>
      <c r="Z127" s="23">
        <f t="shared" si="17"/>
        <v>2.8940629379194949E-3</v>
      </c>
      <c r="AA127" s="36"/>
    </row>
    <row r="128" spans="4:27" ht="13.9" customHeight="1">
      <c r="D128" s="8"/>
      <c r="E128" s="9"/>
      <c r="F128" s="19"/>
      <c r="G128" s="19"/>
      <c r="H128" s="19"/>
      <c r="J128" s="45"/>
      <c r="K128" s="45"/>
      <c r="L128" s="45"/>
      <c r="M128" s="43"/>
      <c r="O128" s="12">
        <f t="shared" si="11"/>
        <v>9.5833333333333339</v>
      </c>
      <c r="P128" s="13">
        <v>115</v>
      </c>
      <c r="Q128" s="22">
        <v>3.0972343878251207E-2</v>
      </c>
      <c r="R128" s="19">
        <f t="shared" si="12"/>
        <v>3.1825627765873277E-2</v>
      </c>
      <c r="S128" s="22">
        <v>3.0972102134475765E-2</v>
      </c>
      <c r="T128" s="19">
        <f t="shared" si="13"/>
        <v>3.1835926026167138E-2</v>
      </c>
      <c r="U128" s="24">
        <v>3.5362565568132664E-2</v>
      </c>
      <c r="V128" s="24">
        <f t="shared" si="14"/>
        <v>3.6214252020783766E-2</v>
      </c>
      <c r="W128" s="23">
        <f t="shared" si="15"/>
        <v>2.9665979972337553E-3</v>
      </c>
      <c r="X128" s="24">
        <v>3.4482464281359704E-2</v>
      </c>
      <c r="Y128" s="24">
        <f t="shared" si="16"/>
        <v>3.5336742624100026E-2</v>
      </c>
      <c r="Z128" s="23">
        <f t="shared" si="17"/>
        <v>2.8957894554793029E-3</v>
      </c>
      <c r="AA128" s="36"/>
    </row>
    <row r="129" spans="4:27" ht="13.9" customHeight="1">
      <c r="D129" s="8"/>
      <c r="E129" s="9"/>
      <c r="F129" s="19"/>
      <c r="G129" s="19"/>
      <c r="H129" s="19"/>
      <c r="J129" s="45"/>
      <c r="K129" s="45"/>
      <c r="L129" s="45"/>
      <c r="M129" s="43"/>
      <c r="O129" s="12">
        <f t="shared" si="11"/>
        <v>9.6666666666666661</v>
      </c>
      <c r="P129" s="13">
        <v>116</v>
      </c>
      <c r="Q129" s="22">
        <v>3.0979696757680752E-2</v>
      </c>
      <c r="R129" s="19">
        <f t="shared" si="12"/>
        <v>3.1862816378932735E-2</v>
      </c>
      <c r="S129" s="22">
        <v>3.0979545801056663E-2</v>
      </c>
      <c r="T129" s="19">
        <f t="shared" si="13"/>
        <v>3.1871145828920477E-2</v>
      </c>
      <c r="U129" s="24">
        <v>3.5369904700585098E-2</v>
      </c>
      <c r="V129" s="24">
        <f t="shared" si="14"/>
        <v>3.6249775967441833E-2</v>
      </c>
      <c r="W129" s="23">
        <f t="shared" si="15"/>
        <v>2.968892576812765E-3</v>
      </c>
      <c r="X129" s="24">
        <v>3.4489825736898183E-2</v>
      </c>
      <c r="Y129" s="24">
        <f t="shared" si="16"/>
        <v>3.5372226008114405E-2</v>
      </c>
      <c r="Z129" s="23">
        <f t="shared" si="17"/>
        <v>2.8980854363818143E-3</v>
      </c>
      <c r="AA129" s="36"/>
    </row>
    <row r="130" spans="4:27" ht="13.9" customHeight="1">
      <c r="D130" s="8"/>
      <c r="E130" s="9"/>
      <c r="F130" s="19"/>
      <c r="G130" s="19"/>
      <c r="H130" s="19"/>
      <c r="J130" s="45"/>
      <c r="K130" s="45"/>
      <c r="L130" s="45"/>
      <c r="M130" s="43"/>
      <c r="O130" s="12">
        <f t="shared" si="11"/>
        <v>9.75</v>
      </c>
      <c r="P130" s="13">
        <v>117</v>
      </c>
      <c r="Q130" s="22">
        <v>3.0987241585326064E-2</v>
      </c>
      <c r="R130" s="19">
        <f t="shared" si="12"/>
        <v>3.1907259282026423E-2</v>
      </c>
      <c r="S130" s="22">
        <v>3.0987163049010391E-2</v>
      </c>
      <c r="T130" s="19">
        <f t="shared" si="13"/>
        <v>3.1913238262292865E-2</v>
      </c>
      <c r="U130" s="24">
        <v>3.537742180150838E-2</v>
      </c>
      <c r="V130" s="24">
        <f t="shared" si="14"/>
        <v>3.6292365409481553E-2</v>
      </c>
      <c r="W130" s="23">
        <f t="shared" si="15"/>
        <v>2.9717578830259495E-3</v>
      </c>
      <c r="X130" s="24">
        <v>3.4497364432312771E-2</v>
      </c>
      <c r="Y130" s="24">
        <f t="shared" si="16"/>
        <v>3.5414737122154483E-2</v>
      </c>
      <c r="Z130" s="23">
        <f t="shared" si="17"/>
        <v>2.9009496944090163E-3</v>
      </c>
      <c r="AA130" s="36"/>
    </row>
    <row r="131" spans="4:27" ht="13.9" customHeight="1">
      <c r="D131" s="8"/>
      <c r="E131" s="9"/>
      <c r="F131" s="19"/>
      <c r="G131" s="19"/>
      <c r="H131" s="19"/>
      <c r="J131" s="45"/>
      <c r="K131" s="45"/>
      <c r="L131" s="45"/>
      <c r="M131" s="43"/>
      <c r="O131" s="12">
        <f t="shared" si="11"/>
        <v>9.8333333333333339</v>
      </c>
      <c r="P131" s="13">
        <v>118</v>
      </c>
      <c r="Q131" s="22">
        <v>3.0995034898209983E-2</v>
      </c>
      <c r="R131" s="19">
        <f t="shared" si="12"/>
        <v>3.1958969217062982E-2</v>
      </c>
      <c r="S131" s="22">
        <v>3.0995007651249962E-2</v>
      </c>
      <c r="T131" s="19">
        <f t="shared" si="13"/>
        <v>3.1962183660245724E-2</v>
      </c>
      <c r="U131" s="24">
        <v>3.5385172165996792E-2</v>
      </c>
      <c r="V131" s="24">
        <f t="shared" si="14"/>
        <v>3.6342010287074178E-2</v>
      </c>
      <c r="W131" s="23">
        <f t="shared" si="15"/>
        <v>2.9751929624108886E-3</v>
      </c>
      <c r="X131" s="24">
        <v>3.4505135361294181E-2</v>
      </c>
      <c r="Y131" s="24">
        <f t="shared" si="16"/>
        <v>3.5464264001634938E-2</v>
      </c>
      <c r="Z131" s="23">
        <f t="shared" si="17"/>
        <v>2.9043811201057146E-3</v>
      </c>
      <c r="AA131" s="36"/>
    </row>
    <row r="132" spans="4:27" ht="13.9" customHeight="1">
      <c r="D132" s="8"/>
      <c r="E132" s="9"/>
      <c r="F132" s="19"/>
      <c r="G132" s="19"/>
      <c r="H132" s="19"/>
      <c r="J132" s="45"/>
      <c r="K132" s="45"/>
      <c r="L132" s="45"/>
      <c r="M132" s="43"/>
      <c r="O132" s="12">
        <f t="shared" si="11"/>
        <v>9.9166666666666661</v>
      </c>
      <c r="P132" s="13">
        <v>119</v>
      </c>
      <c r="Q132" s="22">
        <v>3.1003131434049758E-2</v>
      </c>
      <c r="R132" s="19">
        <f t="shared" si="12"/>
        <v>3.2017959875355162E-2</v>
      </c>
      <c r="S132" s="22">
        <v>3.1003131402909334E-2</v>
      </c>
      <c r="T132" s="19">
        <f t="shared" si="13"/>
        <v>3.2017963586684406E-2</v>
      </c>
      <c r="U132" s="24">
        <v>3.5393209140620829E-2</v>
      </c>
      <c r="V132" s="24">
        <f t="shared" si="14"/>
        <v>3.6398701671603639E-2</v>
      </c>
      <c r="W132" s="23">
        <f t="shared" si="15"/>
        <v>2.9791969392389817E-3</v>
      </c>
      <c r="X132" s="24">
        <v>3.4513191563190881E-2</v>
      </c>
      <c r="Y132" s="24">
        <f t="shared" si="16"/>
        <v>3.5520795835480401E-2</v>
      </c>
      <c r="Z132" s="23">
        <f t="shared" si="17"/>
        <v>2.9083786837320602E-3</v>
      </c>
      <c r="AA132" s="36"/>
    </row>
    <row r="133" spans="4:27" ht="13.9" customHeight="1">
      <c r="D133" s="8"/>
      <c r="E133" s="9"/>
      <c r="F133" s="19"/>
      <c r="G133" s="19"/>
      <c r="H133" s="19"/>
      <c r="J133" s="45"/>
      <c r="K133" s="45"/>
      <c r="L133" s="45"/>
      <c r="M133" s="43"/>
      <c r="O133" s="12">
        <f t="shared" si="11"/>
        <v>10</v>
      </c>
      <c r="P133" s="13">
        <v>120</v>
      </c>
      <c r="Q133" s="22">
        <v>3.1011584212992105E-2</v>
      </c>
      <c r="R133" s="19">
        <f t="shared" si="12"/>
        <v>3.2082588212815288E-2</v>
      </c>
      <c r="S133" s="22">
        <v>3.1011584213008536E-2</v>
      </c>
      <c r="T133" s="19">
        <f t="shared" si="13"/>
        <v>3.2079003729137634E-2</v>
      </c>
      <c r="U133" s="24">
        <v>3.5401584212985782E-2</v>
      </c>
      <c r="V133" s="24">
        <f t="shared" si="14"/>
        <v>3.646083681151735E-2</v>
      </c>
      <c r="W133" s="23">
        <f t="shared" si="15"/>
        <v>2.9837690185003929E-3</v>
      </c>
      <c r="X133" s="24">
        <v>3.4521584213009326E-2</v>
      </c>
      <c r="Y133" s="24">
        <f t="shared" si="16"/>
        <v>3.5582734998224064E-2</v>
      </c>
      <c r="Z133" s="23">
        <f t="shared" si="17"/>
        <v>2.9129414382644825E-3</v>
      </c>
      <c r="AA133" s="36"/>
    </row>
    <row r="134" spans="4:27" ht="13.9" customHeight="1">
      <c r="D134" s="8"/>
      <c r="E134" s="9"/>
      <c r="F134" s="19"/>
      <c r="G134" s="19"/>
      <c r="H134" s="19"/>
      <c r="J134" s="45"/>
      <c r="K134" s="45"/>
      <c r="L134" s="45"/>
      <c r="M134" s="43"/>
      <c r="O134" s="12">
        <f t="shared" si="11"/>
        <v>10.083333333333334</v>
      </c>
      <c r="P134" s="13">
        <v>121</v>
      </c>
      <c r="Q134" s="22">
        <v>3.1020430929549647E-2</v>
      </c>
      <c r="R134" s="19">
        <f t="shared" si="12"/>
        <v>3.2146234031362297E-2</v>
      </c>
      <c r="S134" s="22">
        <v>3.10204013361699E-2</v>
      </c>
      <c r="T134" s="19">
        <f t="shared" si="13"/>
        <v>3.2139069613222437E-2</v>
      </c>
      <c r="U134" s="24">
        <v>3.541033392880899E-2</v>
      </c>
      <c r="V134" s="24">
        <f t="shared" si="14"/>
        <v>3.6522034900053901E-2</v>
      </c>
      <c r="W134" s="23">
        <f t="shared" si="15"/>
        <v>2.9887798655416908E-3</v>
      </c>
      <c r="X134" s="24">
        <v>3.4530349596625598E-2</v>
      </c>
      <c r="Y134" s="24">
        <f t="shared" si="16"/>
        <v>3.5643727662021618E-2</v>
      </c>
      <c r="Z134" s="23">
        <f t="shared" si="17"/>
        <v>2.9179403628962763E-3</v>
      </c>
      <c r="AA134" s="36"/>
    </row>
    <row r="135" spans="4:27" ht="13.9" customHeight="1">
      <c r="D135" s="8"/>
      <c r="E135" s="9"/>
      <c r="F135" s="19"/>
      <c r="G135" s="19"/>
      <c r="H135" s="19"/>
      <c r="J135" s="45"/>
      <c r="K135" s="45"/>
      <c r="L135" s="45"/>
      <c r="M135" s="43"/>
      <c r="O135" s="12">
        <f t="shared" si="11"/>
        <v>10.166666666666666</v>
      </c>
      <c r="P135" s="13">
        <v>122</v>
      </c>
      <c r="Q135" s="22">
        <v>3.1029653830630721E-2</v>
      </c>
      <c r="R135" s="19">
        <f t="shared" si="12"/>
        <v>3.2207242270850145E-2</v>
      </c>
      <c r="S135" s="22">
        <v>3.1029565818146754E-2</v>
      </c>
      <c r="T135" s="19">
        <f t="shared" si="13"/>
        <v>3.2196616343531659E-2</v>
      </c>
      <c r="U135" s="24">
        <v>3.5419441383549133E-2</v>
      </c>
      <c r="V135" s="24">
        <f t="shared" si="14"/>
        <v>3.6580710832115004E-2</v>
      </c>
      <c r="W135" s="23">
        <f t="shared" si="15"/>
        <v>2.9937148755390108E-3</v>
      </c>
      <c r="X135" s="24">
        <v>3.4539470779271664E-2</v>
      </c>
      <c r="Y135" s="24">
        <f t="shared" si="16"/>
        <v>3.5702196256948371E-2</v>
      </c>
      <c r="Z135" s="23">
        <f t="shared" si="17"/>
        <v>2.9228626306108119E-3</v>
      </c>
      <c r="AA135" s="36"/>
    </row>
    <row r="136" spans="4:27" ht="13.9" customHeight="1">
      <c r="D136" s="8"/>
      <c r="E136" s="9"/>
      <c r="F136" s="19"/>
      <c r="G136" s="19"/>
      <c r="H136" s="19"/>
      <c r="J136" s="45"/>
      <c r="K136" s="45"/>
      <c r="L136" s="45"/>
      <c r="M136" s="43"/>
      <c r="O136" s="12">
        <f t="shared" si="11"/>
        <v>10.25</v>
      </c>
      <c r="P136" s="13">
        <v>123</v>
      </c>
      <c r="Q136" s="22">
        <v>3.1039222301548541E-2</v>
      </c>
      <c r="R136" s="19">
        <f t="shared" si="12"/>
        <v>3.2265614206178794E-2</v>
      </c>
      <c r="S136" s="22">
        <v>3.1039048711473116E-2</v>
      </c>
      <c r="T136" s="19">
        <f t="shared" si="13"/>
        <v>3.2251658392306926E-2</v>
      </c>
      <c r="U136" s="24">
        <v>3.5428877351155519E-2</v>
      </c>
      <c r="V136" s="24">
        <f t="shared" si="14"/>
        <v>3.6636875710035488E-2</v>
      </c>
      <c r="W136" s="23">
        <f t="shared" si="15"/>
        <v>2.9984462481975616E-3</v>
      </c>
      <c r="X136" s="24">
        <v>3.4548918566879694E-2</v>
      </c>
      <c r="Y136" s="24">
        <f t="shared" si="16"/>
        <v>3.5758152638221796E-2</v>
      </c>
      <c r="Z136" s="23">
        <f t="shared" si="17"/>
        <v>2.927580949898978E-3</v>
      </c>
      <c r="AA136" s="36"/>
    </row>
    <row r="137" spans="4:27" ht="13.9" customHeight="1">
      <c r="D137" s="8"/>
      <c r="E137" s="9"/>
      <c r="F137" s="19"/>
      <c r="G137" s="19"/>
      <c r="H137" s="19"/>
      <c r="J137" s="45"/>
      <c r="K137" s="45"/>
      <c r="L137" s="45"/>
      <c r="M137" s="43"/>
      <c r="O137" s="12">
        <f t="shared" si="11"/>
        <v>10.333333333333334</v>
      </c>
      <c r="P137" s="13">
        <v>124</v>
      </c>
      <c r="Q137" s="22">
        <v>3.1049106728793907E-2</v>
      </c>
      <c r="R137" s="19">
        <f t="shared" si="12"/>
        <v>3.2321350822323458E-2</v>
      </c>
      <c r="S137" s="22">
        <v>3.1048822122001107E-2</v>
      </c>
      <c r="T137" s="19">
        <f t="shared" si="13"/>
        <v>3.2304209822083818E-2</v>
      </c>
      <c r="U137" s="24">
        <v>3.5438613640817573E-2</v>
      </c>
      <c r="V137" s="24">
        <f t="shared" si="14"/>
        <v>3.669054027476415E-2</v>
      </c>
      <c r="W137" s="23">
        <f t="shared" si="15"/>
        <v>3.0029749103797077E-3</v>
      </c>
      <c r="X137" s="24">
        <v>3.4558664805642847E-2</v>
      </c>
      <c r="Y137" s="24">
        <f t="shared" si="16"/>
        <v>3.5811608289656238E-2</v>
      </c>
      <c r="Z137" s="23">
        <f t="shared" si="17"/>
        <v>2.9320963090340157E-3</v>
      </c>
      <c r="AA137" s="36"/>
    </row>
    <row r="138" spans="4:27" ht="13.9" customHeight="1">
      <c r="D138" s="8"/>
      <c r="E138" s="9"/>
      <c r="F138" s="19"/>
      <c r="G138" s="19"/>
      <c r="H138" s="19"/>
      <c r="J138" s="45"/>
      <c r="K138" s="45"/>
      <c r="L138" s="45"/>
      <c r="M138" s="43"/>
      <c r="O138" s="12">
        <f t="shared" si="11"/>
        <v>10.416666666666666</v>
      </c>
      <c r="P138" s="13">
        <v>125</v>
      </c>
      <c r="Q138" s="22">
        <v>3.1059278457427952E-2</v>
      </c>
      <c r="R138" s="19">
        <f t="shared" si="12"/>
        <v>3.2374452819469823E-2</v>
      </c>
      <c r="S138" s="22">
        <v>3.1058859163258346E-2</v>
      </c>
      <c r="T138" s="19">
        <f t="shared" si="13"/>
        <v>3.2354284293953262E-2</v>
      </c>
      <c r="U138" s="24">
        <v>3.5448623052433792E-2</v>
      </c>
      <c r="V138" s="24">
        <f t="shared" si="14"/>
        <v>3.6741714913713253E-2</v>
      </c>
      <c r="W138" s="23">
        <f t="shared" si="15"/>
        <v>3.0073017582736838E-3</v>
      </c>
      <c r="X138" s="24">
        <v>3.4568682337201784E-2</v>
      </c>
      <c r="Y138" s="24">
        <f t="shared" si="16"/>
        <v>3.5862574330167707E-2</v>
      </c>
      <c r="Z138" s="23">
        <f t="shared" si="17"/>
        <v>2.9364096647688243E-3</v>
      </c>
      <c r="AA138" s="36"/>
    </row>
    <row r="139" spans="4:27" ht="13.9" customHeight="1">
      <c r="D139" s="8"/>
      <c r="E139" s="9"/>
      <c r="F139" s="19"/>
      <c r="G139" s="19"/>
      <c r="H139" s="19"/>
      <c r="J139" s="45"/>
      <c r="K139" s="45"/>
      <c r="L139" s="45"/>
      <c r="M139" s="43"/>
      <c r="O139" s="12">
        <f t="shared" si="11"/>
        <v>10.5</v>
      </c>
      <c r="P139" s="13">
        <v>126</v>
      </c>
      <c r="Q139" s="22">
        <v>3.1069709750552121E-2</v>
      </c>
      <c r="R139" s="19">
        <f t="shared" si="12"/>
        <v>3.2424928239054074E-2</v>
      </c>
      <c r="S139" s="22">
        <v>3.1069133913055325E-2</v>
      </c>
      <c r="T139" s="19">
        <f t="shared" si="13"/>
        <v>3.240189507460034E-2</v>
      </c>
      <c r="U139" s="24">
        <v>3.5458879334272719E-2</v>
      </c>
      <c r="V139" s="24">
        <f t="shared" si="14"/>
        <v>3.6790409667140755E-2</v>
      </c>
      <c r="W139" s="23">
        <f t="shared" si="15"/>
        <v>3.0114276580535115E-3</v>
      </c>
      <c r="X139" s="24">
        <v>3.4578944956027202E-2</v>
      </c>
      <c r="Y139" s="24">
        <f t="shared" si="16"/>
        <v>3.5911061521316734E-2</v>
      </c>
      <c r="Z139" s="23">
        <f t="shared" si="17"/>
        <v>2.94052194288974E-3</v>
      </c>
      <c r="AA139" s="36"/>
    </row>
    <row r="140" spans="4:27" ht="13.9" customHeight="1">
      <c r="D140" s="8"/>
      <c r="E140" s="9"/>
      <c r="F140" s="19"/>
      <c r="G140" s="19"/>
      <c r="H140" s="19"/>
      <c r="J140" s="45"/>
      <c r="K140" s="45"/>
      <c r="L140" s="45"/>
      <c r="M140" s="43"/>
      <c r="O140" s="12">
        <f t="shared" si="11"/>
        <v>10.583333333333334</v>
      </c>
      <c r="P140" s="13">
        <v>127</v>
      </c>
      <c r="Q140" s="22">
        <v>3.108037381067108E-2</v>
      </c>
      <c r="R140" s="19">
        <f t="shared" si="12"/>
        <v>3.2472807732849551E-2</v>
      </c>
      <c r="S140" s="22">
        <v>3.1079621372208432E-2</v>
      </c>
      <c r="T140" s="19">
        <f t="shared" si="13"/>
        <v>3.2447055044026341E-2</v>
      </c>
      <c r="U140" s="24">
        <v>3.5469357142694058E-2</v>
      </c>
      <c r="V140" s="24">
        <f t="shared" si="14"/>
        <v>3.6836634234255206E-2</v>
      </c>
      <c r="W140" s="23">
        <f t="shared" si="15"/>
        <v>3.0153534464194554E-3</v>
      </c>
      <c r="X140" s="24">
        <v>3.4589427368885373E-2</v>
      </c>
      <c r="Y140" s="24">
        <f t="shared" si="16"/>
        <v>3.5957080273216757E-2</v>
      </c>
      <c r="Z140" s="23">
        <f t="shared" si="17"/>
        <v>2.9444340388518064E-3</v>
      </c>
      <c r="AA140" s="36"/>
    </row>
    <row r="141" spans="4:27" ht="13.9" customHeight="1">
      <c r="D141" s="8"/>
      <c r="E141" s="9"/>
      <c r="F141" s="19"/>
      <c r="G141" s="19"/>
      <c r="H141" s="19"/>
      <c r="J141" s="45"/>
      <c r="K141" s="45"/>
      <c r="L141" s="45"/>
      <c r="M141" s="43"/>
      <c r="O141" s="12">
        <f t="shared" si="11"/>
        <v>10.666666666666666</v>
      </c>
      <c r="P141" s="13">
        <v>128</v>
      </c>
      <c r="Q141" s="22">
        <v>3.1091244919182248E-2</v>
      </c>
      <c r="R141" s="19">
        <f t="shared" si="12"/>
        <v>3.2518098866209044E-2</v>
      </c>
      <c r="S141" s="22">
        <v>3.109029742526781E-2</v>
      </c>
      <c r="T141" s="19">
        <f t="shared" si="13"/>
        <v>3.2489776702417483E-2</v>
      </c>
      <c r="U141" s="24">
        <v>3.5480032003815776E-2</v>
      </c>
      <c r="V141" s="24">
        <f t="shared" si="14"/>
        <v>3.6880397980071145E-2</v>
      </c>
      <c r="W141" s="23">
        <f t="shared" si="15"/>
        <v>3.0190799311147209E-3</v>
      </c>
      <c r="X141" s="24">
        <v>3.460010515625811E-2</v>
      </c>
      <c r="Y141" s="24">
        <f t="shared" si="16"/>
        <v>3.6000640651811633E-2</v>
      </c>
      <c r="Z141" s="23">
        <f t="shared" si="17"/>
        <v>2.9481468182821491E-3</v>
      </c>
      <c r="AA141" s="36"/>
    </row>
    <row r="142" spans="4:27" ht="13.9" customHeight="1">
      <c r="D142" s="8"/>
      <c r="E142" s="9"/>
      <c r="F142" s="19"/>
      <c r="G142" s="19"/>
      <c r="H142" s="19"/>
      <c r="J142" s="45"/>
      <c r="K142" s="45"/>
      <c r="L142" s="45"/>
      <c r="M142" s="43"/>
      <c r="O142" s="12">
        <f t="shared" ref="O142:O205" si="18">P142/12</f>
        <v>10.75</v>
      </c>
      <c r="P142" s="13">
        <v>129</v>
      </c>
      <c r="Q142" s="22">
        <v>3.1102298215605506E-2</v>
      </c>
      <c r="R142" s="19">
        <f t="shared" ref="R142:R205" si="19">(1+Q143)^P143/(1+Q142)^P142-1</f>
        <v>3.256080133067929E-2</v>
      </c>
      <c r="S142" s="22">
        <v>3.1101138803133921E-2</v>
      </c>
      <c r="T142" s="19">
        <f t="shared" ref="T142:T205" si="20">(1+S143)^P143/(1+S142)^P142-1</f>
        <v>3.2530072177729075E-2</v>
      </c>
      <c r="U142" s="24">
        <v>3.549088027702374E-2</v>
      </c>
      <c r="V142" s="24">
        <f t="shared" ref="V142:V205" si="21">(1+U143)^P143/(1+U142)^P142-1</f>
        <v>3.6921709941465597E-2</v>
      </c>
      <c r="W142" s="23">
        <f t="shared" si="15"/>
        <v>3.0226078915023269E-3</v>
      </c>
      <c r="X142" s="24">
        <v>3.4610954735623034E-2</v>
      </c>
      <c r="Y142" s="24">
        <f t="shared" si="16"/>
        <v>3.6041752384718961E-2</v>
      </c>
      <c r="Z142" s="23">
        <f t="shared" si="17"/>
        <v>2.9516611175921526E-3</v>
      </c>
      <c r="AA142" s="36"/>
    </row>
    <row r="143" spans="4:27" ht="13.9" customHeight="1">
      <c r="D143" s="8"/>
      <c r="E143" s="9"/>
      <c r="F143" s="19"/>
      <c r="G143" s="19"/>
      <c r="H143" s="19"/>
      <c r="J143" s="45"/>
      <c r="K143" s="45"/>
      <c r="L143" s="45"/>
      <c r="M143" s="43"/>
      <c r="O143" s="12">
        <f t="shared" si="18"/>
        <v>10.833333333333334</v>
      </c>
      <c r="P143" s="13">
        <v>130</v>
      </c>
      <c r="Q143" s="22">
        <v>3.1113509603896583E-2</v>
      </c>
      <c r="R143" s="19">
        <f t="shared" si="19"/>
        <v>3.2600914564524519E-2</v>
      </c>
      <c r="S143" s="22">
        <v>3.1112123047466245E-2</v>
      </c>
      <c r="T143" s="19">
        <f t="shared" si="20"/>
        <v>3.2567953231865676E-2</v>
      </c>
      <c r="U143" s="24">
        <v>3.5501879120221735E-2</v>
      </c>
      <c r="V143" s="24">
        <f t="shared" si="21"/>
        <v>3.696057883372883E-2</v>
      </c>
      <c r="W143" s="23">
        <f t="shared" ref="W143:W206" si="22">(1+V142)^(1/12)-1</f>
        <v>3.0259380790751411E-3</v>
      </c>
      <c r="X143" s="24">
        <v>3.4621953326480881E-2</v>
      </c>
      <c r="Y143" s="24">
        <f t="shared" ref="Y143:Y206" si="23">(1+X144)^P144/(1+X143)^P143-1</f>
        <v>3.6080424868168537E-2</v>
      </c>
      <c r="Z143" s="23">
        <f t="shared" ref="Z143:Z206" si="24">(1+Y142)^(1/12)-1</f>
        <v>2.954977744472842E-3</v>
      </c>
      <c r="AA143" s="36"/>
    </row>
    <row r="144" spans="4:27" ht="13.9" customHeight="1">
      <c r="D144" s="8"/>
      <c r="E144" s="9"/>
      <c r="F144" s="19"/>
      <c r="G144" s="19"/>
      <c r="H144" s="19"/>
      <c r="J144" s="45"/>
      <c r="K144" s="45"/>
      <c r="L144" s="45"/>
      <c r="M144" s="43"/>
      <c r="O144" s="12">
        <f t="shared" si="18"/>
        <v>10.916666666666666</v>
      </c>
      <c r="P144" s="13">
        <v>131</v>
      </c>
      <c r="Q144" s="22">
        <v>3.1124855721155198E-2</v>
      </c>
      <c r="R144" s="19">
        <f t="shared" si="19"/>
        <v>3.26384377572837E-2</v>
      </c>
      <c r="S144" s="22">
        <v>3.1123228476776843E-2</v>
      </c>
      <c r="T144" s="19">
        <f t="shared" si="20"/>
        <v>3.2603431268406258E-2</v>
      </c>
      <c r="U144" s="24">
        <v>3.5513006456729279E-2</v>
      </c>
      <c r="V144" s="24">
        <f t="shared" si="21"/>
        <v>3.699701305606462E-2</v>
      </c>
      <c r="W144" s="23">
        <f t="shared" si="22"/>
        <v>3.0290712180058854E-3</v>
      </c>
      <c r="X144" s="24">
        <v>3.4633078917045035E-2</v>
      </c>
      <c r="Y144" s="24">
        <f t="shared" si="23"/>
        <v>3.6116667172865435E-2</v>
      </c>
      <c r="Z144" s="23">
        <f t="shared" si="24"/>
        <v>2.9580974784773062E-3</v>
      </c>
      <c r="AA144" s="36"/>
    </row>
    <row r="145" spans="4:27" ht="13.9" customHeight="1">
      <c r="D145" s="8"/>
      <c r="E145" s="9"/>
      <c r="F145" s="19"/>
      <c r="G145" s="19"/>
      <c r="H145" s="19"/>
      <c r="J145" s="45"/>
      <c r="K145" s="45"/>
      <c r="L145" s="45"/>
      <c r="M145" s="43"/>
      <c r="O145" s="12">
        <f t="shared" si="18"/>
        <v>11</v>
      </c>
      <c r="P145" s="13">
        <v>132</v>
      </c>
      <c r="Q145" s="22">
        <v>3.1136313907795587E-2</v>
      </c>
      <c r="R145" s="19">
        <f t="shared" si="19"/>
        <v>3.2673377387672398E-2</v>
      </c>
      <c r="S145" s="22">
        <v>3.1134434154131085E-2</v>
      </c>
      <c r="T145" s="19">
        <f t="shared" si="20"/>
        <v>3.2636517338617388E-2</v>
      </c>
      <c r="U145" s="24">
        <v>3.5524240943732188E-2</v>
      </c>
      <c r="V145" s="24">
        <f t="shared" si="21"/>
        <v>3.7031020698088168E-2</v>
      </c>
      <c r="W145" s="23">
        <f t="shared" si="22"/>
        <v>3.0320080056107646E-3</v>
      </c>
      <c r="X145" s="24">
        <v>3.46443102324967E-2</v>
      </c>
      <c r="Y145" s="24">
        <f t="shared" si="23"/>
        <v>3.6150488050327612E-2</v>
      </c>
      <c r="Z145" s="23">
        <f t="shared" si="24"/>
        <v>2.9610210715151908E-3</v>
      </c>
      <c r="AA145" s="36"/>
    </row>
    <row r="146" spans="4:27" ht="13.9" customHeight="1">
      <c r="D146" s="8"/>
      <c r="E146" s="9"/>
      <c r="F146" s="19"/>
      <c r="G146" s="19"/>
      <c r="H146" s="19"/>
      <c r="J146" s="45"/>
      <c r="K146" s="45"/>
      <c r="L146" s="45"/>
      <c r="M146" s="43"/>
      <c r="O146" s="12">
        <f t="shared" si="18"/>
        <v>11.083333333333334</v>
      </c>
      <c r="P146" s="13">
        <v>133</v>
      </c>
      <c r="Q146" s="22">
        <v>3.1147862235660018E-2</v>
      </c>
      <c r="R146" s="19">
        <f t="shared" si="19"/>
        <v>3.2705762314779285E-2</v>
      </c>
      <c r="S146" s="22">
        <v>3.1145719856356946E-2</v>
      </c>
      <c r="T146" s="19">
        <f t="shared" si="20"/>
        <v>3.266722214827178E-2</v>
      </c>
      <c r="U146" s="24">
        <v>3.5535561942213079E-2</v>
      </c>
      <c r="V146" s="24">
        <f t="shared" si="21"/>
        <v>3.7062609545583935E-2</v>
      </c>
      <c r="W146" s="23">
        <f t="shared" si="22"/>
        <v>3.0347491128925874E-3</v>
      </c>
      <c r="X146" s="24">
        <v>3.4655626704725995E-2</v>
      </c>
      <c r="Y146" s="24">
        <f t="shared" si="23"/>
        <v>3.6181895938727449E-2</v>
      </c>
      <c r="Z146" s="23">
        <f t="shared" si="24"/>
        <v>2.9637492483856054E-3</v>
      </c>
      <c r="AA146" s="36"/>
    </row>
    <row r="147" spans="4:27" ht="13.9" customHeight="1">
      <c r="D147" s="8"/>
      <c r="E147" s="9"/>
      <c r="F147" s="19"/>
      <c r="G147" s="19"/>
      <c r="H147" s="19"/>
      <c r="J147" s="45"/>
      <c r="K147" s="45"/>
      <c r="L147" s="45"/>
      <c r="M147" s="43"/>
      <c r="O147" s="12">
        <f t="shared" si="18"/>
        <v>11.166666666666666</v>
      </c>
      <c r="P147" s="13">
        <v>134</v>
      </c>
      <c r="Q147" s="22">
        <v>3.1159479647325572E-2</v>
      </c>
      <c r="R147" s="19">
        <f t="shared" si="19"/>
        <v>3.2735598612130934E-2</v>
      </c>
      <c r="S147" s="22">
        <v>3.1157066044691373E-2</v>
      </c>
      <c r="T147" s="19">
        <f t="shared" si="20"/>
        <v>3.2695556064207487E-2</v>
      </c>
      <c r="U147" s="24">
        <v>3.5546949488275636E-2</v>
      </c>
      <c r="V147" s="24">
        <f t="shared" si="21"/>
        <v>3.7091787086515282E-2</v>
      </c>
      <c r="W147" s="23">
        <f t="shared" si="22"/>
        <v>3.0372951850241581E-3</v>
      </c>
      <c r="X147" s="24">
        <v>3.4667008443477698E-2</v>
      </c>
      <c r="Y147" s="24">
        <f t="shared" si="23"/>
        <v>3.6210898969262439E-2</v>
      </c>
      <c r="Z147" s="23">
        <f t="shared" si="24"/>
        <v>2.9662827072662878E-3</v>
      </c>
      <c r="AA147" s="36"/>
    </row>
    <row r="148" spans="4:27" ht="13.9" customHeight="1">
      <c r="D148" s="8"/>
      <c r="E148" s="9"/>
      <c r="F148" s="19"/>
      <c r="G148" s="19"/>
      <c r="H148" s="19"/>
      <c r="J148" s="45"/>
      <c r="K148" s="45"/>
      <c r="L148" s="45"/>
      <c r="M148" s="43"/>
      <c r="O148" s="12">
        <f t="shared" si="18"/>
        <v>11.25</v>
      </c>
      <c r="P148" s="13">
        <v>135</v>
      </c>
      <c r="Q148" s="22">
        <v>3.1171145755156671E-2</v>
      </c>
      <c r="R148" s="19">
        <f t="shared" si="19"/>
        <v>3.2762884602643094E-2</v>
      </c>
      <c r="S148" s="22">
        <v>3.1168453836784016E-2</v>
      </c>
      <c r="T148" s="19">
        <f t="shared" si="20"/>
        <v>3.2721529120527615E-2</v>
      </c>
      <c r="U148" s="24">
        <v>3.5558384265794274E-2</v>
      </c>
      <c r="V148" s="24">
        <f t="shared" si="21"/>
        <v>3.7118560516226085E-2</v>
      </c>
      <c r="W148" s="23">
        <f t="shared" si="22"/>
        <v>3.0396468418480982E-3</v>
      </c>
      <c r="X148" s="24">
        <v>3.4678436208831931E-2</v>
      </c>
      <c r="Y148" s="24">
        <f t="shared" si="23"/>
        <v>3.6237504971509571E-2</v>
      </c>
      <c r="Z148" s="23">
        <f t="shared" si="24"/>
        <v>2.9686221202482876E-3</v>
      </c>
      <c r="AA148" s="36"/>
    </row>
    <row r="149" spans="4:27" ht="13.9" customHeight="1">
      <c r="D149" s="8"/>
      <c r="E149" s="9"/>
      <c r="F149" s="19"/>
      <c r="G149" s="19"/>
      <c r="H149" s="19"/>
      <c r="J149" s="45"/>
      <c r="K149" s="45"/>
      <c r="L149" s="45"/>
      <c r="M149" s="43"/>
      <c r="O149" s="12">
        <f t="shared" si="18"/>
        <v>11.333333333333334</v>
      </c>
      <c r="P149" s="13">
        <v>136</v>
      </c>
      <c r="Q149" s="22">
        <v>3.1182840759625741E-2</v>
      </c>
      <c r="R149" s="19">
        <f t="shared" si="19"/>
        <v>3.2787618390246909E-2</v>
      </c>
      <c r="S149" s="22">
        <v>3.1179864979988592E-2</v>
      </c>
      <c r="T149" s="19">
        <f t="shared" si="20"/>
        <v>3.2745151024692998E-2</v>
      </c>
      <c r="U149" s="24">
        <v>3.5569847580313452E-2</v>
      </c>
      <c r="V149" s="24">
        <f t="shared" si="21"/>
        <v>3.714293674388891E-2</v>
      </c>
      <c r="W149" s="23">
        <f t="shared" si="22"/>
        <v>3.0418046783151631E-3</v>
      </c>
      <c r="X149" s="24">
        <v>3.4689891384944271E-2</v>
      </c>
      <c r="Y149" s="24">
        <f t="shared" si="23"/>
        <v>3.6261721479836861E-2</v>
      </c>
      <c r="Z149" s="23">
        <f t="shared" si="24"/>
        <v>2.970768133784274E-3</v>
      </c>
      <c r="AA149" s="36"/>
    </row>
    <row r="150" spans="4:27" ht="13.9" customHeight="1">
      <c r="D150" s="8"/>
      <c r="E150" s="9"/>
      <c r="F150" s="19"/>
      <c r="G150" s="19"/>
      <c r="H150" s="19"/>
      <c r="J150" s="45"/>
      <c r="K150" s="45"/>
      <c r="L150" s="45"/>
      <c r="M150" s="43"/>
      <c r="O150" s="12">
        <f t="shared" si="18"/>
        <v>11.416666666666666</v>
      </c>
      <c r="P150" s="13">
        <v>137</v>
      </c>
      <c r="Q150" s="22">
        <v>3.1194545426108666E-2</v>
      </c>
      <c r="R150" s="19">
        <f t="shared" si="19"/>
        <v>3.2809797864238766E-2</v>
      </c>
      <c r="S150" s="22">
        <v>3.1191281825873052E-2</v>
      </c>
      <c r="T150" s="19">
        <f t="shared" si="20"/>
        <v>3.2766431164016563E-2</v>
      </c>
      <c r="U150" s="24">
        <v>3.5581321334141824E-2</v>
      </c>
      <c r="V150" s="24">
        <f t="shared" si="21"/>
        <v>3.7164922397500799E-2</v>
      </c>
      <c r="W150" s="23">
        <f t="shared" si="22"/>
        <v>3.043769265017815E-3</v>
      </c>
      <c r="X150" s="24">
        <v>3.4701355954986246E-2</v>
      </c>
      <c r="Y150" s="24">
        <f t="shared" si="23"/>
        <v>3.6283555738286788E-2</v>
      </c>
      <c r="Z150" s="23">
        <f t="shared" si="24"/>
        <v>2.9727213692225529E-3</v>
      </c>
      <c r="AA150" s="36"/>
    </row>
    <row r="151" spans="4:27" ht="13.9" customHeight="1">
      <c r="D151" s="8"/>
      <c r="E151" s="9"/>
      <c r="F151" s="19"/>
      <c r="G151" s="19"/>
      <c r="H151" s="19"/>
      <c r="J151" s="45"/>
      <c r="K151" s="45"/>
      <c r="L151" s="45"/>
      <c r="M151" s="43"/>
      <c r="O151" s="12">
        <f t="shared" si="18"/>
        <v>11.5</v>
      </c>
      <c r="P151" s="13">
        <v>138</v>
      </c>
      <c r="Q151" s="22">
        <v>3.1206241062725182E-2</v>
      </c>
      <c r="R151" s="19">
        <f t="shared" si="19"/>
        <v>3.2829428149162343E-2</v>
      </c>
      <c r="S151" s="22">
        <v>3.1202687305889487E-2</v>
      </c>
      <c r="T151" s="19">
        <f t="shared" si="20"/>
        <v>3.278537861162123E-2</v>
      </c>
      <c r="U151" s="24">
        <v>3.5592788002570597E-2</v>
      </c>
      <c r="V151" s="24">
        <f t="shared" si="21"/>
        <v>3.718452382961801E-2</v>
      </c>
      <c r="W151" s="23">
        <f t="shared" si="22"/>
        <v>3.0455411486085548E-3</v>
      </c>
      <c r="X151" s="24">
        <v>3.4712812477216914E-2</v>
      </c>
      <c r="Y151" s="24">
        <f t="shared" si="23"/>
        <v>3.6303014707164571E-2</v>
      </c>
      <c r="Z151" s="23">
        <f t="shared" si="24"/>
        <v>2.9744824232176281E-3</v>
      </c>
      <c r="AA151" s="36"/>
    </row>
    <row r="152" spans="4:27" ht="13.9" customHeight="1">
      <c r="D152" s="8"/>
      <c r="E152" s="9"/>
      <c r="F152" s="19"/>
      <c r="G152" s="19"/>
      <c r="H152" s="19"/>
      <c r="J152" s="45"/>
      <c r="K152" s="45"/>
      <c r="L152" s="45"/>
      <c r="M152" s="43"/>
      <c r="O152" s="12">
        <f t="shared" si="18"/>
        <v>11.583333333333334</v>
      </c>
      <c r="P152" s="13">
        <v>139</v>
      </c>
      <c r="Q152" s="22">
        <v>3.1217909552650136E-2</v>
      </c>
      <c r="R152" s="19">
        <f t="shared" si="19"/>
        <v>3.2846536521460745E-2</v>
      </c>
      <c r="S152" s="22">
        <v>3.1214064908142047E-2</v>
      </c>
      <c r="T152" s="19">
        <f t="shared" si="20"/>
        <v>3.2802002131894659E-2</v>
      </c>
      <c r="U152" s="24">
        <v>3.5604230611162579E-2</v>
      </c>
      <c r="V152" s="24">
        <f t="shared" si="21"/>
        <v>3.7201747122754369E-2</v>
      </c>
      <c r="W152" s="23">
        <f t="shared" si="22"/>
        <v>3.0471208522762083E-3</v>
      </c>
      <c r="X152" s="24">
        <v>3.4724244062137366E-2</v>
      </c>
      <c r="Y152" s="24">
        <f t="shared" si="23"/>
        <v>3.6320105067645381E-2</v>
      </c>
      <c r="Z152" s="23">
        <f t="shared" si="24"/>
        <v>2.9760518682762083E-3</v>
      </c>
      <c r="AA152" s="36"/>
    </row>
    <row r="153" spans="4:27" ht="13.9" customHeight="1">
      <c r="D153" s="8"/>
      <c r="E153" s="9"/>
      <c r="F153" s="19"/>
      <c r="G153" s="19"/>
      <c r="H153" s="19"/>
      <c r="J153" s="45"/>
      <c r="K153" s="45"/>
      <c r="L153" s="45"/>
      <c r="M153" s="43"/>
      <c r="O153" s="12">
        <f t="shared" si="18"/>
        <v>11.666666666666666</v>
      </c>
      <c r="P153" s="13">
        <v>140</v>
      </c>
      <c r="Q153" s="22">
        <v>3.12295334914241E-2</v>
      </c>
      <c r="R153" s="19">
        <f t="shared" si="19"/>
        <v>3.2861127766925069E-2</v>
      </c>
      <c r="S153" s="22">
        <v>3.1225398655193803E-2</v>
      </c>
      <c r="T153" s="19">
        <f t="shared" si="20"/>
        <v>3.2816310187009146E-2</v>
      </c>
      <c r="U153" s="24">
        <v>3.5615632714058876E-2</v>
      </c>
      <c r="V153" s="24">
        <f t="shared" si="21"/>
        <v>3.7216598095100251E-2</v>
      </c>
      <c r="W153" s="23">
        <f t="shared" si="22"/>
        <v>3.0485088761933454E-3</v>
      </c>
      <c r="X153" s="24">
        <v>3.4735634350663069E-2</v>
      </c>
      <c r="Y153" s="24">
        <f t="shared" si="23"/>
        <v>3.6334833228276686E-2</v>
      </c>
      <c r="Z153" s="23">
        <f t="shared" si="24"/>
        <v>2.9774302531431207E-3</v>
      </c>
      <c r="AA153" s="36"/>
    </row>
    <row r="154" spans="4:27" ht="13.9" customHeight="1">
      <c r="D154" s="8"/>
      <c r="E154" s="9"/>
      <c r="F154" s="19"/>
      <c r="G154" s="19"/>
      <c r="H154" s="19"/>
      <c r="J154" s="45"/>
      <c r="K154" s="45"/>
      <c r="L154" s="45"/>
      <c r="M154" s="43"/>
      <c r="O154" s="12">
        <f t="shared" si="18"/>
        <v>11.75</v>
      </c>
      <c r="P154" s="13">
        <v>141</v>
      </c>
      <c r="Q154" s="22">
        <v>3.1241096002306401E-2</v>
      </c>
      <c r="R154" s="19">
        <f t="shared" si="19"/>
        <v>3.2873199040411194E-2</v>
      </c>
      <c r="S154" s="22">
        <v>3.1236673082867483E-2</v>
      </c>
      <c r="T154" s="19">
        <f t="shared" si="20"/>
        <v>3.2828310942119687E-2</v>
      </c>
      <c r="U154" s="24">
        <v>3.5626978373250795E-2</v>
      </c>
      <c r="V154" s="24">
        <f t="shared" si="21"/>
        <v>3.7229082305030081E-2</v>
      </c>
      <c r="W154" s="23">
        <f t="shared" si="22"/>
        <v>3.0497056979905679E-3</v>
      </c>
      <c r="X154" s="24">
        <v>3.4746967493272551E-2</v>
      </c>
      <c r="Y154" s="24">
        <f t="shared" si="23"/>
        <v>3.6347205329135823E-2</v>
      </c>
      <c r="Z154" s="23">
        <f t="shared" si="24"/>
        <v>2.9786181033393255E-3</v>
      </c>
      <c r="AA154" s="36"/>
    </row>
    <row r="155" spans="4:27" ht="13.9" customHeight="1">
      <c r="D155" s="8"/>
      <c r="E155" s="9"/>
      <c r="F155" s="19"/>
      <c r="G155" s="19"/>
      <c r="H155" s="19"/>
      <c r="J155" s="45"/>
      <c r="K155" s="45"/>
      <c r="L155" s="45"/>
      <c r="M155" s="43"/>
      <c r="O155" s="12">
        <f t="shared" si="18"/>
        <v>11.833333333333334</v>
      </c>
      <c r="P155" s="13">
        <v>142</v>
      </c>
      <c r="Q155" s="22">
        <v>3.1252580663917895E-2</v>
      </c>
      <c r="R155" s="19">
        <f t="shared" si="19"/>
        <v>3.2882747310798877E-2</v>
      </c>
      <c r="S155" s="22">
        <v>3.1247873219982569E-2</v>
      </c>
      <c r="T155" s="19">
        <f t="shared" si="20"/>
        <v>3.2838012271532158E-2</v>
      </c>
      <c r="U155" s="24">
        <v>3.5638252138764148E-2</v>
      </c>
      <c r="V155" s="24">
        <f t="shared" si="21"/>
        <v>3.7239205057210345E-2</v>
      </c>
      <c r="W155" s="23">
        <f t="shared" si="22"/>
        <v>3.0507117731310984E-3</v>
      </c>
      <c r="X155" s="24">
        <v>3.4758228130071789E-2</v>
      </c>
      <c r="Y155" s="24">
        <f t="shared" si="23"/>
        <v>3.6357227248340118E-2</v>
      </c>
      <c r="Z155" s="23">
        <f t="shared" si="24"/>
        <v>2.9796159215096374E-3</v>
      </c>
      <c r="AA155" s="36"/>
    </row>
    <row r="156" spans="4:27" ht="13.9" customHeight="1">
      <c r="D156" s="8"/>
      <c r="E156" s="9"/>
      <c r="F156" s="19"/>
      <c r="G156" s="19"/>
      <c r="H156" s="19"/>
      <c r="J156" s="45"/>
      <c r="K156" s="45"/>
      <c r="L156" s="45"/>
      <c r="M156" s="43"/>
      <c r="O156" s="12">
        <f t="shared" si="18"/>
        <v>11.916666666666666</v>
      </c>
      <c r="P156" s="13">
        <v>143</v>
      </c>
      <c r="Q156" s="22">
        <v>3.1263971492903497E-2</v>
      </c>
      <c r="R156" s="19">
        <f t="shared" si="19"/>
        <v>3.2889769364694343E-2</v>
      </c>
      <c r="S156" s="22">
        <v>3.1258984568989234E-2</v>
      </c>
      <c r="T156" s="19">
        <f t="shared" si="20"/>
        <v>3.28454217637697E-2</v>
      </c>
      <c r="U156" s="24">
        <v>3.564943902972062E-2</v>
      </c>
      <c r="V156" s="24">
        <f t="shared" si="21"/>
        <v>3.7246971407577822E-2</v>
      </c>
      <c r="W156" s="23">
        <f t="shared" si="22"/>
        <v>3.0515275354134896E-3</v>
      </c>
      <c r="X156" s="24">
        <v>3.4769401371743225E-2</v>
      </c>
      <c r="Y156" s="24">
        <f t="shared" si="23"/>
        <v>3.6364904606769333E-2</v>
      </c>
      <c r="Z156" s="23">
        <f t="shared" si="24"/>
        <v>2.9804241879598514E-3</v>
      </c>
      <c r="AA156" s="36"/>
    </row>
    <row r="157" spans="4:27" ht="13.9" customHeight="1">
      <c r="D157" s="8"/>
      <c r="E157" s="9"/>
      <c r="F157" s="19"/>
      <c r="G157" s="19"/>
      <c r="H157" s="19"/>
      <c r="J157" s="45"/>
      <c r="K157" s="45"/>
      <c r="L157" s="45"/>
      <c r="M157" s="43"/>
      <c r="O157" s="12">
        <f t="shared" si="18"/>
        <v>12</v>
      </c>
      <c r="P157" s="13">
        <v>144</v>
      </c>
      <c r="Q157" s="22">
        <v>3.1275252927344566E-2</v>
      </c>
      <c r="R157" s="19">
        <f t="shared" si="19"/>
        <v>3.2894269169199575E-2</v>
      </c>
      <c r="S157" s="22">
        <v>3.1269993087447379E-2</v>
      </c>
      <c r="T157" s="19">
        <f t="shared" si="20"/>
        <v>3.2850546727427377E-2</v>
      </c>
      <c r="U157" s="24">
        <v>3.5660524516225367E-2</v>
      </c>
      <c r="V157" s="24">
        <f t="shared" si="21"/>
        <v>3.725238616788884E-2</v>
      </c>
      <c r="W157" s="23">
        <f t="shared" si="22"/>
        <v>3.0521533973835169E-3</v>
      </c>
      <c r="X157" s="24">
        <v>3.4780472781323457E-2</v>
      </c>
      <c r="Y157" s="24">
        <f t="shared" si="23"/>
        <v>3.6370242773140271E-2</v>
      </c>
      <c r="Z157" s="23">
        <f t="shared" si="24"/>
        <v>2.981043361048874E-3</v>
      </c>
      <c r="AA157" s="36"/>
    </row>
    <row r="158" spans="4:27" ht="13.9" customHeight="1">
      <c r="D158" s="8"/>
      <c r="E158" s="9"/>
      <c r="F158" s="19"/>
      <c r="G158" s="19"/>
      <c r="H158" s="19"/>
      <c r="J158" s="45"/>
      <c r="K158" s="45"/>
      <c r="L158" s="45"/>
      <c r="M158" s="43"/>
      <c r="O158" s="12">
        <f t="shared" si="18"/>
        <v>12.083333333333334</v>
      </c>
      <c r="P158" s="13">
        <v>145</v>
      </c>
      <c r="Q158" s="22">
        <v>3.1286409861557729E-2</v>
      </c>
      <c r="R158" s="19">
        <f t="shared" si="19"/>
        <v>3.2896272615376088E-2</v>
      </c>
      <c r="S158" s="22">
        <v>3.1280885170314798E-2</v>
      </c>
      <c r="T158" s="19">
        <f t="shared" si="20"/>
        <v>3.2853394196501684E-2</v>
      </c>
      <c r="U158" s="24">
        <v>3.5671494502037993E-2</v>
      </c>
      <c r="V158" s="24">
        <f t="shared" si="21"/>
        <v>3.7255453911940517E-2</v>
      </c>
      <c r="W158" s="23">
        <f t="shared" si="22"/>
        <v>3.0525897507098776E-3</v>
      </c>
      <c r="X158" s="24">
        <v>3.479142835677429E-2</v>
      </c>
      <c r="Y158" s="24">
        <f t="shared" si="23"/>
        <v>3.6373246869761289E-2</v>
      </c>
      <c r="Z158" s="23">
        <f t="shared" si="24"/>
        <v>2.9814738776083871E-3</v>
      </c>
      <c r="AA158" s="36"/>
    </row>
    <row r="159" spans="4:27" ht="13.9" customHeight="1">
      <c r="D159" s="8"/>
      <c r="E159" s="9"/>
      <c r="F159" s="19"/>
      <c r="G159" s="19"/>
      <c r="H159" s="19"/>
      <c r="J159" s="45"/>
      <c r="K159" s="45"/>
      <c r="L159" s="45"/>
      <c r="M159" s="43"/>
      <c r="O159" s="12">
        <f t="shared" si="18"/>
        <v>12.166666666666666</v>
      </c>
      <c r="P159" s="13">
        <v>146</v>
      </c>
      <c r="Q159" s="22">
        <v>3.1297427780295317E-2</v>
      </c>
      <c r="R159" s="19">
        <f t="shared" si="19"/>
        <v>3.2895783393112721E-2</v>
      </c>
      <c r="S159" s="22">
        <v>3.1291647633004072E-2</v>
      </c>
      <c r="T159" s="19">
        <f t="shared" si="20"/>
        <v>3.2853970935609045E-2</v>
      </c>
      <c r="U159" s="24">
        <v>3.5682335308002022E-2</v>
      </c>
      <c r="V159" s="24">
        <f t="shared" si="21"/>
        <v>3.7256178979360843E-2</v>
      </c>
      <c r="W159" s="23">
        <f t="shared" si="22"/>
        <v>3.052836966694894E-3</v>
      </c>
      <c r="X159" s="24">
        <v>3.4802254514310516E-2</v>
      </c>
      <c r="Y159" s="24">
        <f t="shared" si="23"/>
        <v>3.6373921776711837E-2</v>
      </c>
      <c r="Z159" s="23">
        <f t="shared" si="24"/>
        <v>2.9817161534162473E-3</v>
      </c>
      <c r="AA159" s="36"/>
    </row>
    <row r="160" spans="4:27" ht="13.9" customHeight="1">
      <c r="D160" s="8"/>
      <c r="E160" s="9"/>
      <c r="F160" s="19"/>
      <c r="G160" s="19"/>
      <c r="H160" s="19"/>
      <c r="J160" s="45"/>
      <c r="K160" s="45"/>
      <c r="L160" s="45"/>
      <c r="M160" s="43"/>
      <c r="O160" s="12">
        <f t="shared" si="18"/>
        <v>12.25</v>
      </c>
      <c r="P160" s="13">
        <v>147</v>
      </c>
      <c r="Q160" s="22">
        <v>3.1308292587770126E-2</v>
      </c>
      <c r="R160" s="19">
        <f t="shared" si="19"/>
        <v>3.2892797680762254E-2</v>
      </c>
      <c r="S160" s="22">
        <v>3.1302267695167085E-2</v>
      </c>
      <c r="T160" s="19">
        <f t="shared" si="20"/>
        <v>3.2852283445605535E-2</v>
      </c>
      <c r="U160" s="24">
        <v>3.5693033656177153E-2</v>
      </c>
      <c r="V160" s="24">
        <f t="shared" si="21"/>
        <v>3.7254565481546598E-2</v>
      </c>
      <c r="W160" s="23">
        <f t="shared" si="22"/>
        <v>3.052895396587596E-3</v>
      </c>
      <c r="X160" s="24">
        <v>3.4812938072440458E-2</v>
      </c>
      <c r="Y160" s="24">
        <f t="shared" si="23"/>
        <v>3.637227213798444E-2</v>
      </c>
      <c r="Z160" s="23">
        <f t="shared" si="24"/>
        <v>2.9817705835430974E-3</v>
      </c>
      <c r="AA160" s="36"/>
    </row>
    <row r="161" spans="4:27" ht="13.9" customHeight="1">
      <c r="D161" s="8"/>
      <c r="E161" s="9"/>
      <c r="F161" s="19"/>
      <c r="G161" s="19"/>
      <c r="H161" s="19"/>
      <c r="J161" s="45"/>
      <c r="K161" s="45"/>
      <c r="L161" s="45"/>
      <c r="M161" s="43"/>
      <c r="O161" s="12">
        <f t="shared" si="18"/>
        <v>12.333333333333334</v>
      </c>
      <c r="P161" s="13">
        <v>148</v>
      </c>
      <c r="Q161" s="22">
        <v>3.131899054270959E-2</v>
      </c>
      <c r="R161" s="19">
        <f t="shared" si="19"/>
        <v>3.2887311500814365E-2</v>
      </c>
      <c r="S161" s="22">
        <v>3.1312732965178558E-2</v>
      </c>
      <c r="T161" s="19">
        <f t="shared" si="20"/>
        <v>3.2848337968365726E-2</v>
      </c>
      <c r="U161" s="24">
        <v>3.5703576654658731E-2</v>
      </c>
      <c r="V161" s="24">
        <f t="shared" si="21"/>
        <v>3.7250617306203715E-2</v>
      </c>
      <c r="W161" s="23">
        <f t="shared" si="22"/>
        <v>3.0527653720702208E-3</v>
      </c>
      <c r="X161" s="24">
        <v>3.4823466236695744E-2</v>
      </c>
      <c r="Y161" s="24">
        <f t="shared" si="23"/>
        <v>3.6368302365647143E-2</v>
      </c>
      <c r="Z161" s="23">
        <f t="shared" si="24"/>
        <v>2.9816375428564079E-3</v>
      </c>
      <c r="AA161" s="36"/>
    </row>
    <row r="162" spans="4:27" ht="13.9" customHeight="1">
      <c r="D162" s="8"/>
      <c r="E162" s="9"/>
      <c r="F162" s="19"/>
      <c r="G162" s="19"/>
      <c r="H162" s="19"/>
      <c r="J162" s="45"/>
      <c r="K162" s="45"/>
      <c r="L162" s="45"/>
      <c r="M162" s="43"/>
      <c r="O162" s="12">
        <f t="shared" si="18"/>
        <v>12.416666666666666</v>
      </c>
      <c r="P162" s="13">
        <v>149</v>
      </c>
      <c r="Q162" s="22">
        <v>3.132950824531533E-2</v>
      </c>
      <c r="R162" s="19">
        <f t="shared" si="19"/>
        <v>3.2879320725469396E-2</v>
      </c>
      <c r="S162" s="22">
        <v>3.1323031425278369E-2</v>
      </c>
      <c r="T162" s="19">
        <f t="shared" si="20"/>
        <v>3.2842140492115091E-2</v>
      </c>
      <c r="U162" s="24">
        <v>3.5713951783040043E-2</v>
      </c>
      <c r="V162" s="24">
        <f t="shared" si="21"/>
        <v>3.7244338122197629E-2</v>
      </c>
      <c r="W162" s="23">
        <f t="shared" si="22"/>
        <v>3.0524472056308039E-3</v>
      </c>
      <c r="X162" s="24">
        <v>3.4833826585007666E-2</v>
      </c>
      <c r="Y162" s="24">
        <f t="shared" si="23"/>
        <v>3.6362016645062889E-2</v>
      </c>
      <c r="Z162" s="23">
        <f t="shared" si="24"/>
        <v>2.9813173863630915E-3</v>
      </c>
      <c r="AA162" s="36"/>
    </row>
    <row r="163" spans="4:27" ht="13.9" customHeight="1">
      <c r="D163" s="8"/>
      <c r="E163" s="9"/>
      <c r="F163" s="19"/>
      <c r="G163" s="19"/>
      <c r="H163" s="19"/>
      <c r="J163" s="45"/>
      <c r="K163" s="45"/>
      <c r="L163" s="45"/>
      <c r="M163" s="43"/>
      <c r="O163" s="12">
        <f t="shared" si="18"/>
        <v>12.5</v>
      </c>
      <c r="P163" s="13">
        <v>150</v>
      </c>
      <c r="Q163" s="22">
        <v>3.1339832624782904E-2</v>
      </c>
      <c r="R163" s="19">
        <f t="shared" si="19"/>
        <v>3.2868828352030866E-2</v>
      </c>
      <c r="S163" s="22">
        <v>3.1333151417345606E-2</v>
      </c>
      <c r="T163" s="19">
        <f t="shared" si="20"/>
        <v>3.2833696756821462E-2</v>
      </c>
      <c r="U163" s="24">
        <v>3.5724146878490348E-2</v>
      </c>
      <c r="V163" s="24">
        <f t="shared" si="21"/>
        <v>3.7235731384736237E-2</v>
      </c>
      <c r="W163" s="23">
        <f t="shared" si="22"/>
        <v>3.0519411909595284E-3</v>
      </c>
      <c r="X163" s="24">
        <v>3.4844007053703718E-2</v>
      </c>
      <c r="Y163" s="24">
        <f t="shared" si="23"/>
        <v>3.6353418940061388E-2</v>
      </c>
      <c r="Z163" s="23">
        <f t="shared" si="24"/>
        <v>2.9808104496380494E-3</v>
      </c>
      <c r="AA163" s="36"/>
    </row>
    <row r="164" spans="4:27" ht="13.9" customHeight="1">
      <c r="D164" s="8"/>
      <c r="E164" s="9"/>
      <c r="F164" s="19"/>
      <c r="G164" s="19"/>
      <c r="H164" s="19"/>
      <c r="J164" s="45"/>
      <c r="K164" s="45"/>
      <c r="L164" s="45"/>
      <c r="M164" s="43"/>
      <c r="O164" s="12">
        <f t="shared" si="18"/>
        <v>12.583333333333334</v>
      </c>
      <c r="P164" s="13">
        <v>151</v>
      </c>
      <c r="Q164" s="22">
        <v>3.1349950975428031E-2</v>
      </c>
      <c r="R164" s="19">
        <f t="shared" si="19"/>
        <v>3.2855859072700611E-2</v>
      </c>
      <c r="S164" s="22">
        <v>3.1343081629275904E-2</v>
      </c>
      <c r="T164" s="19">
        <f t="shared" si="20"/>
        <v>3.2823012258573092E-2</v>
      </c>
      <c r="U164" s="24">
        <v>3.573415012242287E-2</v>
      </c>
      <c r="V164" s="24">
        <f t="shared" si="21"/>
        <v>3.722480033978548E-2</v>
      </c>
      <c r="W164" s="23">
        <f t="shared" si="22"/>
        <v>3.0512476033743852E-3</v>
      </c>
      <c r="X164" s="24">
        <v>3.4853995924097436E-2</v>
      </c>
      <c r="Y164" s="24">
        <f t="shared" si="23"/>
        <v>3.6342512997230791E-2</v>
      </c>
      <c r="Z164" s="23">
        <f t="shared" si="24"/>
        <v>2.9801170492480544E-3</v>
      </c>
      <c r="AA164" s="36"/>
    </row>
    <row r="165" spans="4:27" ht="13.9" customHeight="1">
      <c r="D165" s="8"/>
      <c r="E165" s="9"/>
      <c r="F165" s="19"/>
      <c r="G165" s="19"/>
      <c r="H165" s="19"/>
      <c r="J165" s="45"/>
      <c r="K165" s="45"/>
      <c r="L165" s="45"/>
      <c r="M165" s="43"/>
      <c r="O165" s="12">
        <f t="shared" si="18"/>
        <v>12.666666666666666</v>
      </c>
      <c r="P165" s="13">
        <v>152</v>
      </c>
      <c r="Q165" s="22">
        <v>3.1359851087110258E-2</v>
      </c>
      <c r="R165" s="19">
        <f t="shared" si="19"/>
        <v>3.2840415667149347E-2</v>
      </c>
      <c r="S165" s="22">
        <v>3.1352811081926557E-2</v>
      </c>
      <c r="T165" s="19">
        <f t="shared" si="20"/>
        <v>3.2810092255276313E-2</v>
      </c>
      <c r="U165" s="24">
        <v>3.574395002771924E-2</v>
      </c>
      <c r="V165" s="24">
        <f t="shared" si="21"/>
        <v>3.7211548029317365E-2</v>
      </c>
      <c r="W165" s="23">
        <f t="shared" si="22"/>
        <v>3.05036670017933E-3</v>
      </c>
      <c r="X165" s="24">
        <v>3.4863781809637784E-2</v>
      </c>
      <c r="Y165" s="24">
        <f t="shared" si="23"/>
        <v>3.6329302351400194E-2</v>
      </c>
      <c r="Z165" s="23">
        <f t="shared" si="24"/>
        <v>2.9792374831032475E-3</v>
      </c>
      <c r="AA165" s="36"/>
    </row>
    <row r="166" spans="4:27" ht="13.9" customHeight="1">
      <c r="D166" s="8"/>
      <c r="E166" s="9"/>
      <c r="F166" s="19"/>
      <c r="G166" s="19"/>
      <c r="H166" s="19"/>
      <c r="J166" s="45"/>
      <c r="K166" s="45"/>
      <c r="L166" s="45"/>
      <c r="M166" s="43"/>
      <c r="O166" s="12">
        <f t="shared" si="18"/>
        <v>12.75</v>
      </c>
      <c r="P166" s="13">
        <v>153</v>
      </c>
      <c r="Q166" s="22">
        <v>3.1369521085950369E-2</v>
      </c>
      <c r="R166" s="19">
        <f t="shared" si="19"/>
        <v>3.2822493518987805E-2</v>
      </c>
      <c r="S166" s="22">
        <v>3.1362329116612964E-2</v>
      </c>
      <c r="T166" s="19">
        <f t="shared" si="20"/>
        <v>3.2794941770821984E-2</v>
      </c>
      <c r="U166" s="24">
        <v>3.5753535426490624E-2</v>
      </c>
      <c r="V166" s="24">
        <f t="shared" si="21"/>
        <v>3.7195977295502392E-2</v>
      </c>
      <c r="W166" s="23">
        <f t="shared" si="22"/>
        <v>3.0492987210943845E-3</v>
      </c>
      <c r="X166" s="24">
        <v>3.4873353643598559E-2</v>
      </c>
      <c r="Y166" s="24">
        <f t="shared" si="23"/>
        <v>3.631379032993487E-2</v>
      </c>
      <c r="Z166" s="23">
        <f t="shared" si="24"/>
        <v>2.978172030905446E-3</v>
      </c>
      <c r="AA166" s="36"/>
    </row>
    <row r="167" spans="4:27" ht="13.9" customHeight="1">
      <c r="D167" s="8"/>
      <c r="E167" s="9"/>
      <c r="F167" s="19"/>
      <c r="G167" s="19"/>
      <c r="H167" s="19"/>
      <c r="J167" s="45"/>
      <c r="K167" s="45"/>
      <c r="L167" s="45"/>
      <c r="M167" s="43"/>
      <c r="O167" s="12">
        <f t="shared" si="18"/>
        <v>12.833333333333334</v>
      </c>
      <c r="P167" s="13">
        <v>154</v>
      </c>
      <c r="Q167" s="22">
        <v>3.1378949375370668E-2</v>
      </c>
      <c r="R167" s="19">
        <f t="shared" si="19"/>
        <v>3.2802087887220832E-2</v>
      </c>
      <c r="S167" s="22">
        <v>3.1371625383120438E-2</v>
      </c>
      <c r="T167" s="19">
        <f t="shared" si="20"/>
        <v>3.2777565600591307E-2</v>
      </c>
      <c r="U167" s="24">
        <v>3.5762895458344657E-2</v>
      </c>
      <c r="V167" s="24">
        <f t="shared" si="21"/>
        <v>3.717809078605927E-2</v>
      </c>
      <c r="W167" s="23">
        <f t="shared" si="22"/>
        <v>3.0480438885962524E-3</v>
      </c>
      <c r="X167" s="24">
        <v>3.4882700667278055E-2</v>
      </c>
      <c r="Y167" s="24">
        <f t="shared" si="23"/>
        <v>3.6295980057550192E-2</v>
      </c>
      <c r="Z167" s="23">
        <f t="shared" si="24"/>
        <v>2.9769209544991959E-3</v>
      </c>
      <c r="AA167" s="36"/>
    </row>
    <row r="168" spans="4:27" ht="13.9" customHeight="1">
      <c r="D168" s="8"/>
      <c r="E168" s="9"/>
      <c r="F168" s="19"/>
      <c r="G168" s="19"/>
      <c r="H168" s="19"/>
      <c r="J168" s="45"/>
      <c r="K168" s="45"/>
      <c r="L168" s="45"/>
      <c r="M168" s="43"/>
      <c r="O168" s="12">
        <f t="shared" si="18"/>
        <v>12.916666666666666</v>
      </c>
      <c r="P168" s="13">
        <v>155</v>
      </c>
      <c r="Q168" s="22">
        <v>3.1388124626259728E-2</v>
      </c>
      <c r="R168" s="19">
        <f t="shared" si="19"/>
        <v>3.2779193910309701E-2</v>
      </c>
      <c r="S168" s="22">
        <v>3.1380689828217401E-2</v>
      </c>
      <c r="T168" s="19">
        <f t="shared" si="20"/>
        <v>3.2757968316067254E-2</v>
      </c>
      <c r="U168" s="24">
        <v>3.5772019559141999E-2</v>
      </c>
      <c r="V168" s="24">
        <f t="shared" si="21"/>
        <v>3.7157890958384732E-2</v>
      </c>
      <c r="W168" s="23">
        <f t="shared" si="22"/>
        <v>3.0466024083528609E-3</v>
      </c>
      <c r="X168" s="24">
        <v>3.4891812418687662E-2</v>
      </c>
      <c r="Y168" s="24">
        <f t="shared" si="23"/>
        <v>3.6275874461519475E-2</v>
      </c>
      <c r="Z168" s="23">
        <f t="shared" si="24"/>
        <v>2.9754844982641249E-3</v>
      </c>
      <c r="AA168" s="36"/>
    </row>
    <row r="169" spans="4:27" ht="13.9" customHeight="1">
      <c r="D169" s="8"/>
      <c r="E169" s="9"/>
      <c r="F169" s="19"/>
      <c r="G169" s="19"/>
      <c r="H169" s="19"/>
      <c r="J169" s="45"/>
      <c r="K169" s="45"/>
      <c r="L169" s="45"/>
      <c r="M169" s="43"/>
      <c r="O169" s="12">
        <f t="shared" si="18"/>
        <v>13</v>
      </c>
      <c r="P169" s="13">
        <v>156</v>
      </c>
      <c r="Q169" s="22">
        <v>3.1397035767542381E-2</v>
      </c>
      <c r="R169" s="19">
        <f t="shared" si="19"/>
        <v>3.2753813797302467E-2</v>
      </c>
      <c r="S169" s="22">
        <v>3.138951268464063E-2</v>
      </c>
      <c r="T169" s="19">
        <f t="shared" si="20"/>
        <v>3.2736154269243034E-2</v>
      </c>
      <c r="U169" s="24">
        <v>3.5780897450213844E-2</v>
      </c>
      <c r="V169" s="24">
        <f t="shared" si="21"/>
        <v>3.7135380084938552E-2</v>
      </c>
      <c r="W169" s="23">
        <f t="shared" si="22"/>
        <v>3.0449744695606462E-3</v>
      </c>
      <c r="X169" s="24">
        <v>3.4900678721708989E-2</v>
      </c>
      <c r="Y169" s="24">
        <f t="shared" si="23"/>
        <v>3.6253476275606378E-2</v>
      </c>
      <c r="Z169" s="23">
        <f t="shared" si="24"/>
        <v>2.9738628895388253E-3</v>
      </c>
      <c r="AA169" s="36"/>
    </row>
    <row r="170" spans="4:27" ht="13.9" customHeight="1">
      <c r="D170" s="8"/>
      <c r="E170" s="9"/>
      <c r="F170" s="19"/>
      <c r="G170" s="19"/>
      <c r="H170" s="19"/>
      <c r="J170" s="45"/>
      <c r="K170" s="45"/>
      <c r="L170" s="45"/>
      <c r="M170" s="43"/>
      <c r="O170" s="12">
        <f t="shared" si="18"/>
        <v>13.083333333333334</v>
      </c>
      <c r="P170" s="13">
        <v>157</v>
      </c>
      <c r="Q170" s="22">
        <v>3.140567202285327E-2</v>
      </c>
      <c r="R170" s="19">
        <f t="shared" si="19"/>
        <v>3.2725971221352124E-2</v>
      </c>
      <c r="S170" s="22">
        <v>3.1398084460531717E-2</v>
      </c>
      <c r="T170" s="19">
        <f t="shared" si="20"/>
        <v>3.271212759796116E-2</v>
      </c>
      <c r="U170" s="24">
        <v>3.5789519128025304E-2</v>
      </c>
      <c r="V170" s="24">
        <f t="shared" si="21"/>
        <v>3.7110560256678804E-2</v>
      </c>
      <c r="W170" s="23">
        <f t="shared" si="22"/>
        <v>3.0431602453799833E-3</v>
      </c>
      <c r="X170" s="24">
        <v>3.4909289675693733E-2</v>
      </c>
      <c r="Y170" s="24">
        <f t="shared" si="23"/>
        <v>3.622878804509333E-2</v>
      </c>
      <c r="Z170" s="23">
        <f t="shared" si="24"/>
        <v>2.9720563389417087E-3</v>
      </c>
      <c r="AA170" s="36"/>
    </row>
    <row r="171" spans="4:27" ht="13.9" customHeight="1">
      <c r="D171" s="8"/>
      <c r="E171" s="9"/>
      <c r="F171" s="19"/>
      <c r="G171" s="19"/>
      <c r="H171" s="19"/>
      <c r="J171" s="45"/>
      <c r="K171" s="45"/>
      <c r="L171" s="45"/>
      <c r="M171" s="43"/>
      <c r="O171" s="12">
        <f t="shared" si="18"/>
        <v>13.166666666666666</v>
      </c>
      <c r="P171" s="13">
        <v>158</v>
      </c>
      <c r="Q171" s="22">
        <v>3.1414023036809846E-2</v>
      </c>
      <c r="R171" s="19">
        <f t="shared" si="19"/>
        <v>3.2695668229929087E-2</v>
      </c>
      <c r="S171" s="22">
        <v>3.1406395929308273E-2</v>
      </c>
      <c r="T171" s="19">
        <f t="shared" si="20"/>
        <v>3.2685892229983748E-2</v>
      </c>
      <c r="U171" s="24">
        <v>3.5797874854255785E-2</v>
      </c>
      <c r="V171" s="24">
        <f t="shared" si="21"/>
        <v>3.7083433389050846E-2</v>
      </c>
      <c r="W171" s="23">
        <f t="shared" si="22"/>
        <v>3.0411598932142958E-3</v>
      </c>
      <c r="X171" s="24">
        <v>3.4917635645488776E-2</v>
      </c>
      <c r="Y171" s="24">
        <f t="shared" si="23"/>
        <v>3.6201812131678057E-2</v>
      </c>
      <c r="Z171" s="23">
        <f t="shared" si="24"/>
        <v>2.9700650407795681E-3</v>
      </c>
      <c r="AA171" s="36"/>
    </row>
    <row r="172" spans="4:27" ht="13.9" customHeight="1">
      <c r="D172" s="8"/>
      <c r="E172" s="9"/>
      <c r="F172" s="19"/>
      <c r="G172" s="19"/>
      <c r="H172" s="19"/>
      <c r="J172" s="45"/>
      <c r="K172" s="45"/>
      <c r="L172" s="45"/>
      <c r="M172" s="43"/>
      <c r="O172" s="12">
        <f t="shared" si="18"/>
        <v>13.25</v>
      </c>
      <c r="P172" s="13">
        <v>159</v>
      </c>
      <c r="Q172" s="22">
        <v>3.1422078725876768E-2</v>
      </c>
      <c r="R172" s="19">
        <f t="shared" si="19"/>
        <v>3.2662899590178762E-2</v>
      </c>
      <c r="S172" s="22">
        <v>3.1414438119945487E-2</v>
      </c>
      <c r="T172" s="19">
        <f t="shared" si="20"/>
        <v>3.2657451888274958E-2</v>
      </c>
      <c r="U172" s="24">
        <v>3.5805955146291479E-2</v>
      </c>
      <c r="V172" s="24">
        <f t="shared" si="21"/>
        <v>3.7054001225983679E-2</v>
      </c>
      <c r="W172" s="23">
        <f t="shared" si="22"/>
        <v>3.0389735551958896E-3</v>
      </c>
      <c r="X172" s="24">
        <v>3.4925707251871385E-2</v>
      </c>
      <c r="Y172" s="24">
        <f t="shared" si="23"/>
        <v>3.617255071760983E-2</v>
      </c>
      <c r="Z172" s="23">
        <f t="shared" si="24"/>
        <v>2.9678891734441493E-3</v>
      </c>
      <c r="AA172" s="36"/>
    </row>
    <row r="173" spans="4:27" ht="13.9" customHeight="1">
      <c r="D173" s="8"/>
      <c r="E173" s="9"/>
      <c r="F173" s="19"/>
      <c r="G173" s="19"/>
      <c r="H173" s="19"/>
      <c r="J173" s="45"/>
      <c r="K173" s="45"/>
      <c r="L173" s="45"/>
      <c r="M173" s="43"/>
      <c r="O173" s="12">
        <f t="shared" si="18"/>
        <v>13.333333333333334</v>
      </c>
      <c r="P173" s="13">
        <v>160</v>
      </c>
      <c r="Q173" s="22">
        <v>3.1429829224350003E-2</v>
      </c>
      <c r="R173" s="19">
        <f t="shared" si="19"/>
        <v>3.2627659974380663E-2</v>
      </c>
      <c r="S173" s="22">
        <v>3.1422202307654468E-2</v>
      </c>
      <c r="T173" s="19">
        <f t="shared" si="20"/>
        <v>3.2626810094812608E-2</v>
      </c>
      <c r="U173" s="24">
        <v>3.5813750768099561E-2</v>
      </c>
      <c r="V173" s="24">
        <f t="shared" si="21"/>
        <v>3.7022265343741978E-2</v>
      </c>
      <c r="W173" s="23">
        <f t="shared" si="22"/>
        <v>3.0366013585072515E-3</v>
      </c>
      <c r="X173" s="24">
        <v>3.4933495362369005E-2</v>
      </c>
      <c r="Y173" s="24">
        <f t="shared" si="23"/>
        <v>3.6141005810436999E-2</v>
      </c>
      <c r="Z173" s="23">
        <f t="shared" si="24"/>
        <v>2.9655288997489926E-3</v>
      </c>
      <c r="AA173" s="36"/>
    </row>
    <row r="174" spans="4:27" ht="13.9" customHeight="1">
      <c r="D174" s="8"/>
      <c r="E174" s="9"/>
      <c r="F174" s="19"/>
      <c r="G174" s="19"/>
      <c r="H174" s="19"/>
      <c r="J174" s="45"/>
      <c r="K174" s="45"/>
      <c r="L174" s="45"/>
      <c r="M174" s="43"/>
      <c r="O174" s="12">
        <f t="shared" si="18"/>
        <v>13.416666666666666</v>
      </c>
      <c r="P174" s="13">
        <v>161</v>
      </c>
      <c r="Q174" s="22">
        <v>3.1437264876924997E-2</v>
      </c>
      <c r="R174" s="19">
        <f t="shared" si="19"/>
        <v>3.2589943964898893E-2</v>
      </c>
      <c r="S174" s="22">
        <v>3.1429680004934069E-2</v>
      </c>
      <c r="T174" s="19">
        <f t="shared" si="20"/>
        <v>3.259397017606469E-2</v>
      </c>
      <c r="U174" s="24">
        <v>3.5821252721468966E-2</v>
      </c>
      <c r="V174" s="24">
        <f t="shared" si="21"/>
        <v>3.6988227157126907E-2</v>
      </c>
      <c r="W174" s="23">
        <f t="shared" si="22"/>
        <v>3.0340434156941321E-3</v>
      </c>
      <c r="X174" s="24">
        <v>3.4940991082451855E-2</v>
      </c>
      <c r="Y174" s="24">
        <f t="shared" si="23"/>
        <v>3.6107179247576227E-2</v>
      </c>
      <c r="Z174" s="23">
        <f t="shared" si="24"/>
        <v>2.9629843673126821E-3</v>
      </c>
      <c r="AA174" s="36"/>
    </row>
    <row r="175" spans="4:27" ht="13.9" customHeight="1">
      <c r="D175" s="8"/>
      <c r="E175" s="9"/>
      <c r="F175" s="19"/>
      <c r="G175" s="19"/>
      <c r="H175" s="19"/>
      <c r="J175" s="45"/>
      <c r="K175" s="45"/>
      <c r="L175" s="45"/>
      <c r="M175" s="43"/>
      <c r="O175" s="12">
        <f t="shared" si="18"/>
        <v>13.5</v>
      </c>
      <c r="P175" s="13">
        <v>162</v>
      </c>
      <c r="Q175" s="22">
        <v>3.1444376231570814E-2</v>
      </c>
      <c r="R175" s="19">
        <f t="shared" si="19"/>
        <v>3.2549753157254058E-2</v>
      </c>
      <c r="S175" s="22">
        <v>3.1436862952987754E-2</v>
      </c>
      <c r="T175" s="19">
        <f t="shared" si="20"/>
        <v>3.2558935266611133E-2</v>
      </c>
      <c r="U175" s="24">
        <v>3.5828452237612662E-2</v>
      </c>
      <c r="V175" s="24">
        <f t="shared" si="21"/>
        <v>3.6951887922491489E-2</v>
      </c>
      <c r="W175" s="23">
        <f t="shared" si="22"/>
        <v>3.0312998251655898E-3</v>
      </c>
      <c r="X175" s="24">
        <v>3.4948185747079918E-2</v>
      </c>
      <c r="Y175" s="24">
        <f t="shared" si="23"/>
        <v>3.6071072701139739E-2</v>
      </c>
      <c r="Z175" s="23">
        <f t="shared" si="24"/>
        <v>2.960255708929882E-3</v>
      </c>
      <c r="AA175" s="36"/>
    </row>
    <row r="176" spans="4:27" ht="13.9" customHeight="1">
      <c r="D176" s="8"/>
      <c r="E176" s="9"/>
      <c r="F176" s="19"/>
      <c r="G176" s="19"/>
      <c r="H176" s="19"/>
      <c r="J176" s="45"/>
      <c r="K176" s="45"/>
      <c r="L176" s="45"/>
      <c r="M176" s="43"/>
      <c r="O176" s="12">
        <f t="shared" si="18"/>
        <v>13.583333333333334</v>
      </c>
      <c r="P176" s="13">
        <v>163</v>
      </c>
      <c r="Q176" s="22">
        <v>3.1451154076196364E-2</v>
      </c>
      <c r="R176" s="19">
        <f t="shared" si="19"/>
        <v>3.2507110381852167E-2</v>
      </c>
      <c r="S176" s="22">
        <v>3.1443743113479528E-2</v>
      </c>
      <c r="T176" s="19">
        <f t="shared" si="20"/>
        <v>3.2521708314352082E-2</v>
      </c>
      <c r="U176" s="24">
        <v>3.5835340769099444E-2</v>
      </c>
      <c r="V176" s="24">
        <f t="shared" si="21"/>
        <v>3.6913248742876714E-2</v>
      </c>
      <c r="W176" s="23">
        <f t="shared" si="22"/>
        <v>3.0283706714364644E-3</v>
      </c>
      <c r="X176" s="24">
        <v>3.4955070912591868E-2</v>
      </c>
      <c r="Y176" s="24">
        <f t="shared" si="23"/>
        <v>3.6032687681466946E-2</v>
      </c>
      <c r="Z176" s="23">
        <f t="shared" si="24"/>
        <v>2.9573430429599146E-3</v>
      </c>
      <c r="AA176" s="36"/>
    </row>
    <row r="177" spans="4:27" ht="13.9" customHeight="1">
      <c r="D177" s="8"/>
      <c r="E177" s="9"/>
      <c r="F177" s="19"/>
      <c r="G177" s="19"/>
      <c r="H177" s="19"/>
      <c r="J177" s="45"/>
      <c r="K177" s="45"/>
      <c r="L177" s="45"/>
      <c r="M177" s="43"/>
      <c r="O177" s="12">
        <f t="shared" si="18"/>
        <v>13.666666666666666</v>
      </c>
      <c r="P177" s="13">
        <v>164</v>
      </c>
      <c r="Q177" s="22">
        <v>3.1457589560616839E-2</v>
      </c>
      <c r="R177" s="19">
        <f t="shared" si="19"/>
        <v>3.2462017127784737E-2</v>
      </c>
      <c r="S177" s="22">
        <v>3.1450312660624036E-2</v>
      </c>
      <c r="T177" s="19">
        <f t="shared" si="20"/>
        <v>3.2482292084652364E-2</v>
      </c>
      <c r="U177" s="24">
        <v>3.5841909982111897E-2</v>
      </c>
      <c r="V177" s="24">
        <f t="shared" si="21"/>
        <v>3.68723105729305E-2</v>
      </c>
      <c r="W177" s="23">
        <f t="shared" si="22"/>
        <v>3.0252560255417116E-3</v>
      </c>
      <c r="X177" s="24">
        <v>3.4961638348913748E-2</v>
      </c>
      <c r="Y177" s="24">
        <f t="shared" si="23"/>
        <v>3.5992025543316597E-2</v>
      </c>
      <c r="Z177" s="23">
        <f t="shared" si="24"/>
        <v>2.9542464736138641E-3</v>
      </c>
      <c r="AA177" s="36"/>
    </row>
    <row r="178" spans="4:27" ht="13.9" customHeight="1">
      <c r="D178" s="8"/>
      <c r="E178" s="9"/>
      <c r="F178" s="19"/>
      <c r="G178" s="19"/>
      <c r="H178" s="19"/>
      <c r="J178" s="45"/>
      <c r="K178" s="45"/>
      <c r="L178" s="45"/>
      <c r="M178" s="43"/>
      <c r="O178" s="12">
        <f t="shared" si="18"/>
        <v>13.75</v>
      </c>
      <c r="P178" s="13">
        <v>165</v>
      </c>
      <c r="Q178" s="22">
        <v>3.1463674056329438E-2</v>
      </c>
      <c r="R178" s="19">
        <f t="shared" si="19"/>
        <v>3.2414467720161211E-2</v>
      </c>
      <c r="S178" s="22">
        <v>3.1456563973590201E-2</v>
      </c>
      <c r="T178" s="19">
        <f t="shared" si="20"/>
        <v>3.2440689164792147E-2</v>
      </c>
      <c r="U178" s="24">
        <v>3.5848151749017676E-2</v>
      </c>
      <c r="V178" s="24">
        <f t="shared" si="21"/>
        <v>3.68290742223778E-2</v>
      </c>
      <c r="W178" s="23">
        <f t="shared" si="22"/>
        <v>3.0219559454327527E-3</v>
      </c>
      <c r="X178" s="24">
        <v>3.4967880032087173E-2</v>
      </c>
      <c r="Y178" s="24">
        <f t="shared" si="23"/>
        <v>3.594908748848602E-2</v>
      </c>
      <c r="Z178" s="23">
        <f t="shared" si="24"/>
        <v>2.9509660914528446E-3</v>
      </c>
      <c r="AA178" s="36"/>
    </row>
    <row r="179" spans="4:27" ht="13.9" customHeight="1">
      <c r="D179" s="8"/>
      <c r="E179" s="9"/>
      <c r="F179" s="19"/>
      <c r="G179" s="19"/>
      <c r="H179" s="19"/>
      <c r="J179" s="45"/>
      <c r="K179" s="45"/>
      <c r="L179" s="45"/>
      <c r="M179" s="43"/>
      <c r="O179" s="12">
        <f t="shared" si="18"/>
        <v>13.833333333333334</v>
      </c>
      <c r="P179" s="13">
        <v>166</v>
      </c>
      <c r="Q179" s="22">
        <v>3.1469399106654583E-2</v>
      </c>
      <c r="R179" s="19">
        <f t="shared" si="19"/>
        <v>3.2364456418955134E-2</v>
      </c>
      <c r="S179" s="22">
        <v>3.146248962920617E-2</v>
      </c>
      <c r="T179" s="19">
        <f t="shared" si="20"/>
        <v>3.2396901968408942E-2</v>
      </c>
      <c r="U179" s="24">
        <v>3.5854058141228773E-2</v>
      </c>
      <c r="V179" s="24">
        <f t="shared" si="21"/>
        <v>3.6783540361623457E-2</v>
      </c>
      <c r="W179" s="23">
        <f t="shared" si="22"/>
        <v>3.0184704762556969E-3</v>
      </c>
      <c r="X179" s="24">
        <v>3.4973788137085071E-2</v>
      </c>
      <c r="Y179" s="24">
        <f t="shared" si="23"/>
        <v>3.5903874571653782E-2</v>
      </c>
      <c r="Z179" s="23">
        <f t="shared" si="24"/>
        <v>2.9475019735991648E-3</v>
      </c>
      <c r="AA179" s="36"/>
    </row>
    <row r="180" spans="4:27" ht="13.9" customHeight="1">
      <c r="D180" s="8"/>
      <c r="E180" s="9"/>
      <c r="F180" s="19"/>
      <c r="G180" s="19"/>
      <c r="H180" s="19"/>
      <c r="J180" s="45"/>
      <c r="K180" s="45"/>
      <c r="L180" s="45"/>
      <c r="M180" s="43"/>
      <c r="O180" s="12">
        <f t="shared" si="18"/>
        <v>13.916666666666666</v>
      </c>
      <c r="P180" s="13">
        <v>167</v>
      </c>
      <c r="Q180" s="22">
        <v>3.1474756421129513E-2</v>
      </c>
      <c r="R180" s="19">
        <f t="shared" si="19"/>
        <v>3.231197742310421E-2</v>
      </c>
      <c r="S180" s="22">
        <v>3.1468082394954466E-2</v>
      </c>
      <c r="T180" s="19">
        <f t="shared" si="20"/>
        <v>3.2350932739955152E-2</v>
      </c>
      <c r="U180" s="24">
        <v>3.5859621422352772E-2</v>
      </c>
      <c r="V180" s="24">
        <f t="shared" si="21"/>
        <v>3.6735709525437699E-2</v>
      </c>
      <c r="W180" s="23">
        <f t="shared" si="22"/>
        <v>3.0147996508018693E-3</v>
      </c>
      <c r="X180" s="24">
        <v>3.4979355030921422E-2</v>
      </c>
      <c r="Y180" s="24">
        <f t="shared" si="23"/>
        <v>3.5856387703901538E-2</v>
      </c>
      <c r="Z180" s="23">
        <f t="shared" si="24"/>
        <v>2.9438541842072841E-3</v>
      </c>
      <c r="AA180" s="36"/>
    </row>
    <row r="181" spans="4:27" ht="13.9" customHeight="1">
      <c r="D181" s="8"/>
      <c r="E181" s="9"/>
      <c r="F181" s="19"/>
      <c r="G181" s="19"/>
      <c r="H181" s="19"/>
      <c r="J181" s="45"/>
      <c r="K181" s="45"/>
      <c r="L181" s="45"/>
      <c r="M181" s="43"/>
      <c r="O181" s="12">
        <f t="shared" si="18"/>
        <v>14</v>
      </c>
      <c r="P181" s="13">
        <v>168</v>
      </c>
      <c r="Q181" s="22">
        <v>3.1479737870125923E-2</v>
      </c>
      <c r="R181" s="19">
        <f t="shared" si="19"/>
        <v>3.2257031889357135E-2</v>
      </c>
      <c r="S181" s="22">
        <v>3.1473335222242937E-2</v>
      </c>
      <c r="T181" s="19">
        <f t="shared" si="20"/>
        <v>3.2302783558807668E-2</v>
      </c>
      <c r="U181" s="24">
        <v>3.586483404161056E-2</v>
      </c>
      <c r="V181" s="24">
        <f t="shared" si="21"/>
        <v>3.6685582117822468E-2</v>
      </c>
      <c r="W181" s="23">
        <f t="shared" si="22"/>
        <v>3.0109434898037968E-3</v>
      </c>
      <c r="X181" s="24">
        <v>3.4984573266027219E-2</v>
      </c>
      <c r="Y181" s="24">
        <f t="shared" si="23"/>
        <v>3.5806627658018897E-2</v>
      </c>
      <c r="Z181" s="23">
        <f t="shared" si="24"/>
        <v>2.940022774747586E-3</v>
      </c>
      <c r="AA181" s="36"/>
    </row>
    <row r="182" spans="4:27" ht="13.9" customHeight="1">
      <c r="D182" s="8"/>
      <c r="E182" s="9"/>
      <c r="F182" s="19"/>
      <c r="G182" s="19"/>
      <c r="H182" s="19"/>
      <c r="J182" s="45"/>
      <c r="K182" s="45"/>
      <c r="L182" s="45"/>
      <c r="M182" s="43"/>
      <c r="O182" s="12">
        <f t="shared" si="18"/>
        <v>14.083333333333334</v>
      </c>
      <c r="P182" s="13">
        <v>169</v>
      </c>
      <c r="Q182" s="22">
        <v>3.1484335521158702E-2</v>
      </c>
      <c r="R182" s="19">
        <f t="shared" si="19"/>
        <v>3.2199641975652948E-2</v>
      </c>
      <c r="S182" s="22">
        <v>3.1478241239941029E-2</v>
      </c>
      <c r="T182" s="19">
        <f t="shared" si="20"/>
        <v>3.2252456344279423E-2</v>
      </c>
      <c r="U182" s="24">
        <v>3.5869688627516716E-2</v>
      </c>
      <c r="V182" s="24">
        <f t="shared" si="21"/>
        <v>3.6633158416486067E-2</v>
      </c>
      <c r="W182" s="23">
        <f t="shared" si="22"/>
        <v>3.0069020023255622E-3</v>
      </c>
      <c r="X182" s="24">
        <v>3.4989435573894223E-2</v>
      </c>
      <c r="Y182" s="24">
        <f t="shared" si="23"/>
        <v>3.5754595072338136E-2</v>
      </c>
      <c r="Z182" s="23">
        <f t="shared" si="24"/>
        <v>2.9360077844315935E-3</v>
      </c>
      <c r="AA182" s="36"/>
    </row>
    <row r="183" spans="4:27" ht="13.9" customHeight="1">
      <c r="D183" s="8"/>
      <c r="E183" s="9"/>
      <c r="F183" s="19"/>
      <c r="G183" s="19"/>
      <c r="H183" s="19"/>
      <c r="J183" s="45"/>
      <c r="K183" s="45"/>
      <c r="L183" s="45"/>
      <c r="M183" s="43"/>
      <c r="O183" s="12">
        <f t="shared" si="18"/>
        <v>14.166666666666666</v>
      </c>
      <c r="P183" s="13">
        <v>170</v>
      </c>
      <c r="Q183" s="22">
        <v>3.1488541756477639E-2</v>
      </c>
      <c r="R183" s="19">
        <f t="shared" si="19"/>
        <v>3.2139808785532908E-2</v>
      </c>
      <c r="S183" s="22">
        <v>3.1482793748172089E-2</v>
      </c>
      <c r="T183" s="19">
        <f t="shared" si="20"/>
        <v>3.2199952858893877E-2</v>
      </c>
      <c r="U183" s="24">
        <v>3.5874177981809918E-2</v>
      </c>
      <c r="V183" s="24">
        <f t="shared" si="21"/>
        <v>3.6578438576841288E-2</v>
      </c>
      <c r="W183" s="23">
        <f t="shared" si="22"/>
        <v>3.0026751861218504E-3</v>
      </c>
      <c r="X183" s="24">
        <v>3.4993934858965403E-2</v>
      </c>
      <c r="Y183" s="24">
        <f t="shared" si="23"/>
        <v>3.5700290455265016E-2</v>
      </c>
      <c r="Z183" s="23">
        <f t="shared" si="24"/>
        <v>2.931809240521499E-3</v>
      </c>
      <c r="AA183" s="36"/>
    </row>
    <row r="184" spans="4:27" ht="13.9" customHeight="1">
      <c r="D184" s="8"/>
      <c r="E184" s="9"/>
      <c r="F184" s="19"/>
      <c r="G184" s="19"/>
      <c r="H184" s="19"/>
      <c r="J184" s="45"/>
      <c r="K184" s="45"/>
      <c r="L184" s="45"/>
      <c r="M184" s="43"/>
      <c r="O184" s="12">
        <f t="shared" si="18"/>
        <v>14.25</v>
      </c>
      <c r="P184" s="13">
        <v>171</v>
      </c>
      <c r="Q184" s="22">
        <v>3.149234914078658E-2</v>
      </c>
      <c r="R184" s="19">
        <f t="shared" si="19"/>
        <v>3.2077526373694987E-2</v>
      </c>
      <c r="S184" s="22">
        <v>3.1486986212344803E-2</v>
      </c>
      <c r="T184" s="19">
        <f t="shared" si="20"/>
        <v>3.2145274713825334E-2</v>
      </c>
      <c r="U184" s="24">
        <v>3.5878295073619615E-2</v>
      </c>
      <c r="V184" s="24">
        <f t="shared" si="21"/>
        <v>3.6521422637420198E-2</v>
      </c>
      <c r="W184" s="23">
        <f t="shared" si="22"/>
        <v>2.9982630279574707E-3</v>
      </c>
      <c r="X184" s="24">
        <v>3.4998064192767409E-2</v>
      </c>
      <c r="Y184" s="24">
        <f t="shared" si="23"/>
        <v>3.5643714189806941E-2</v>
      </c>
      <c r="Z184" s="23">
        <f t="shared" si="24"/>
        <v>2.9274271586925416E-3</v>
      </c>
      <c r="AA184" s="36"/>
    </row>
    <row r="185" spans="4:27" ht="13.9" customHeight="1">
      <c r="D185" s="8"/>
      <c r="E185" s="9"/>
      <c r="F185" s="19"/>
      <c r="G185" s="19"/>
      <c r="H185" s="19"/>
      <c r="J185" s="45"/>
      <c r="K185" s="45"/>
      <c r="L185" s="45"/>
      <c r="M185" s="43"/>
      <c r="O185" s="12">
        <f t="shared" si="18"/>
        <v>14.333333333333334</v>
      </c>
      <c r="P185" s="13">
        <v>172</v>
      </c>
      <c r="Q185" s="22">
        <v>3.1495750374922249E-2</v>
      </c>
      <c r="R185" s="19">
        <f t="shared" si="19"/>
        <v>3.20127887597903E-2</v>
      </c>
      <c r="S185" s="22">
        <v>3.149081225742334E-2</v>
      </c>
      <c r="T185" s="19">
        <f t="shared" si="20"/>
        <v>3.2088423372027997E-2</v>
      </c>
      <c r="U185" s="24">
        <v>3.5882033033868055E-2</v>
      </c>
      <c r="V185" s="24">
        <f t="shared" si="21"/>
        <v>3.646211052295234E-2</v>
      </c>
      <c r="W185" s="23">
        <f t="shared" si="22"/>
        <v>2.9936655040414539E-3</v>
      </c>
      <c r="X185" s="24">
        <v>3.5001816808272856E-2</v>
      </c>
      <c r="Y185" s="24">
        <f t="shared" si="23"/>
        <v>3.5584866537974547E-2</v>
      </c>
      <c r="Z185" s="23">
        <f t="shared" si="24"/>
        <v>2.9228615433971594E-3</v>
      </c>
      <c r="AA185" s="36"/>
    </row>
    <row r="186" spans="4:27" ht="13.9" customHeight="1">
      <c r="D186" s="8"/>
      <c r="E186" s="9"/>
      <c r="F186" s="19"/>
      <c r="G186" s="19"/>
      <c r="H186" s="19"/>
      <c r="J186" s="45"/>
      <c r="K186" s="45"/>
      <c r="L186" s="45"/>
      <c r="M186" s="43"/>
      <c r="O186" s="12">
        <f t="shared" si="18"/>
        <v>14.416666666666666</v>
      </c>
      <c r="P186" s="13">
        <v>173</v>
      </c>
      <c r="Q186" s="22">
        <v>3.1498738291649397E-2</v>
      </c>
      <c r="R186" s="19">
        <f t="shared" si="19"/>
        <v>3.1945589932911744E-2</v>
      </c>
      <c r="S186" s="22">
        <v>3.1494265662415533E-2</v>
      </c>
      <c r="T186" s="19">
        <f t="shared" si="20"/>
        <v>3.2029400153860133E-2</v>
      </c>
      <c r="U186" s="24">
        <v>3.5885385149884819E-2</v>
      </c>
      <c r="V186" s="24">
        <f t="shared" si="21"/>
        <v>3.6400502050479844E-2</v>
      </c>
      <c r="W186" s="23">
        <f t="shared" si="22"/>
        <v>2.9888825802732999E-3</v>
      </c>
      <c r="X186" s="24">
        <v>3.5005186094485552E-2</v>
      </c>
      <c r="Y186" s="24">
        <f t="shared" si="23"/>
        <v>3.5523747645295201E-2</v>
      </c>
      <c r="Z186" s="23">
        <f t="shared" si="24"/>
        <v>2.9181123882180415E-3</v>
      </c>
      <c r="AA186" s="36"/>
    </row>
    <row r="187" spans="4:27" ht="13.9" customHeight="1">
      <c r="D187" s="8"/>
      <c r="E187" s="9"/>
      <c r="F187" s="19"/>
      <c r="G187" s="19"/>
      <c r="H187" s="19"/>
      <c r="J187" s="45"/>
      <c r="K187" s="45"/>
      <c r="L187" s="45"/>
      <c r="M187" s="43"/>
      <c r="O187" s="12">
        <f t="shared" si="18"/>
        <v>14.5</v>
      </c>
      <c r="P187" s="13">
        <v>174</v>
      </c>
      <c r="Q187" s="22">
        <v>3.1501305851625139E-2</v>
      </c>
      <c r="R187" s="19">
        <f t="shared" si="19"/>
        <v>3.1875930781128048E-2</v>
      </c>
      <c r="S187" s="22">
        <v>3.1497340355082892E-2</v>
      </c>
      <c r="T187" s="19">
        <f t="shared" si="20"/>
        <v>3.1968206239912256E-2</v>
      </c>
      <c r="U187" s="24">
        <v>3.5888344860241839E-2</v>
      </c>
      <c r="V187" s="24">
        <f t="shared" si="21"/>
        <v>3.6336596932158738E-2</v>
      </c>
      <c r="W187" s="23">
        <f t="shared" si="22"/>
        <v>2.9839142127316975E-3</v>
      </c>
      <c r="X187" s="24">
        <v>3.5008165591236873E-2</v>
      </c>
      <c r="Y187" s="24">
        <f t="shared" si="23"/>
        <v>3.5460357544660592E-2</v>
      </c>
      <c r="Z187" s="23">
        <f t="shared" si="24"/>
        <v>2.9131796762287276E-3</v>
      </c>
      <c r="AA187" s="36"/>
    </row>
    <row r="188" spans="4:27" ht="13.9" customHeight="1">
      <c r="D188" s="8"/>
      <c r="E188" s="9"/>
      <c r="F188" s="19"/>
      <c r="G188" s="19"/>
      <c r="H188" s="19"/>
      <c r="J188" s="45"/>
      <c r="K188" s="45"/>
      <c r="L188" s="45"/>
      <c r="M188" s="43"/>
      <c r="O188" s="12">
        <f t="shared" si="18"/>
        <v>14.583333333333334</v>
      </c>
      <c r="P188" s="13">
        <v>175</v>
      </c>
      <c r="Q188" s="22">
        <v>3.1503446179085959E-2</v>
      </c>
      <c r="R188" s="19">
        <f t="shared" si="19"/>
        <v>3.1803832959584444E-2</v>
      </c>
      <c r="S188" s="22">
        <v>3.1500030406849344E-2</v>
      </c>
      <c r="T188" s="19">
        <f t="shared" si="20"/>
        <v>3.1904842676494072E-2</v>
      </c>
      <c r="U188" s="24">
        <v>3.5890905749781821E-2</v>
      </c>
      <c r="V188" s="24">
        <f t="shared" si="21"/>
        <v>3.6270394780972826E-2</v>
      </c>
      <c r="W188" s="23">
        <f t="shared" si="22"/>
        <v>2.9787603478990121E-3</v>
      </c>
      <c r="X188" s="24">
        <v>3.5010748984183993E-2</v>
      </c>
      <c r="Y188" s="24">
        <f t="shared" si="23"/>
        <v>3.5394696161832551E-2</v>
      </c>
      <c r="Z188" s="23">
        <f t="shared" si="24"/>
        <v>2.9080633803024725E-3</v>
      </c>
      <c r="AA188" s="36"/>
    </row>
    <row r="189" spans="4:27" ht="13.9" customHeight="1">
      <c r="D189" s="8"/>
      <c r="E189" s="9"/>
      <c r="F189" s="19"/>
      <c r="G189" s="19"/>
      <c r="H189" s="19"/>
      <c r="J189" s="45"/>
      <c r="K189" s="45"/>
      <c r="L189" s="45"/>
      <c r="M189" s="43"/>
      <c r="O189" s="12">
        <f t="shared" si="18"/>
        <v>14.666666666666666</v>
      </c>
      <c r="P189" s="13">
        <v>176</v>
      </c>
      <c r="Q189" s="22">
        <v>3.1505152675104231E-2</v>
      </c>
      <c r="R189" s="19">
        <f t="shared" si="19"/>
        <v>3.1729297356292374E-2</v>
      </c>
      <c r="S189" s="22">
        <v>3.1502330027913361E-2</v>
      </c>
      <c r="T189" s="19">
        <f t="shared" si="20"/>
        <v>3.1839310378841912E-2</v>
      </c>
      <c r="U189" s="24">
        <v>3.5893061544848948E-2</v>
      </c>
      <c r="V189" s="24">
        <f t="shared" si="21"/>
        <v>3.6201895114337468E-2</v>
      </c>
      <c r="W189" s="23">
        <f t="shared" si="22"/>
        <v>2.9734209231169206E-3</v>
      </c>
      <c r="X189" s="24">
        <v>3.5012930100009498E-2</v>
      </c>
      <c r="Y189" s="24">
        <f t="shared" si="23"/>
        <v>3.5326763318444199E-2</v>
      </c>
      <c r="Z189" s="23">
        <f t="shared" si="24"/>
        <v>2.9027634635525601E-3</v>
      </c>
      <c r="AA189" s="36"/>
    </row>
    <row r="190" spans="4:27" ht="13.9" customHeight="1">
      <c r="D190" s="8"/>
      <c r="E190" s="9"/>
      <c r="F190" s="19"/>
      <c r="G190" s="19"/>
      <c r="H190" s="19"/>
      <c r="J190" s="45"/>
      <c r="K190" s="45"/>
      <c r="L190" s="45"/>
      <c r="M190" s="43"/>
      <c r="O190" s="12">
        <f t="shared" si="18"/>
        <v>14.75</v>
      </c>
      <c r="P190" s="13">
        <v>177</v>
      </c>
      <c r="Q190" s="22">
        <v>3.1506418892443877E-2</v>
      </c>
      <c r="R190" s="19">
        <f t="shared" si="19"/>
        <v>3.165231792776857E-2</v>
      </c>
      <c r="S190" s="22">
        <v>3.1504233562545725E-2</v>
      </c>
      <c r="T190" s="19">
        <f t="shared" si="20"/>
        <v>3.1771610136384298E-2</v>
      </c>
      <c r="U190" s="24">
        <v>3.5894806108701882E-2</v>
      </c>
      <c r="V190" s="24">
        <f t="shared" si="21"/>
        <v>3.6131097359672237E-2</v>
      </c>
      <c r="W190" s="23">
        <f t="shared" si="22"/>
        <v>2.9678958668748479E-3</v>
      </c>
      <c r="X190" s="24">
        <v>3.5014702901800643E-2</v>
      </c>
      <c r="Y190" s="24">
        <f t="shared" si="23"/>
        <v>3.5256558737893684E-2</v>
      </c>
      <c r="Z190" s="23">
        <f t="shared" si="24"/>
        <v>2.8972798795727783E-3</v>
      </c>
      <c r="AA190" s="36"/>
    </row>
    <row r="191" spans="4:27" ht="13.9" customHeight="1">
      <c r="D191" s="8"/>
      <c r="E191" s="9"/>
      <c r="F191" s="19"/>
      <c r="G191" s="19"/>
      <c r="H191" s="19"/>
      <c r="J191" s="45"/>
      <c r="K191" s="45"/>
      <c r="L191" s="45"/>
      <c r="M191" s="43"/>
      <c r="O191" s="12">
        <f t="shared" si="18"/>
        <v>14.833333333333334</v>
      </c>
      <c r="P191" s="13">
        <v>178</v>
      </c>
      <c r="Q191" s="22">
        <v>3.1507238492309408E-2</v>
      </c>
      <c r="R191" s="19">
        <f t="shared" si="19"/>
        <v>3.1572888624114892E-2</v>
      </c>
      <c r="S191" s="22">
        <v>3.1505735484574249E-2</v>
      </c>
      <c r="T191" s="19">
        <f t="shared" si="20"/>
        <v>3.1701742615874995E-2</v>
      </c>
      <c r="U191" s="24">
        <v>3.5896133437111954E-2</v>
      </c>
      <c r="V191" s="24">
        <f t="shared" si="21"/>
        <v>3.6058000856965755E-2</v>
      </c>
      <c r="W191" s="23">
        <f t="shared" si="22"/>
        <v>2.9621850992553878E-3</v>
      </c>
      <c r="X191" s="24">
        <v>3.5016061484618222E-2</v>
      </c>
      <c r="Y191" s="24">
        <f t="shared" si="23"/>
        <v>3.5184082048306475E-2</v>
      </c>
      <c r="Z191" s="23">
        <f t="shared" si="24"/>
        <v>2.8916125729085973E-3</v>
      </c>
      <c r="AA191" s="36"/>
    </row>
    <row r="192" spans="4:27" ht="13.9" customHeight="1">
      <c r="D192" s="8"/>
      <c r="E192" s="9"/>
      <c r="F192" s="19"/>
      <c r="G192" s="19"/>
      <c r="H192" s="19"/>
      <c r="J192" s="45"/>
      <c r="K192" s="45"/>
      <c r="L192" s="45"/>
      <c r="M192" s="43"/>
      <c r="O192" s="12">
        <f t="shared" si="18"/>
        <v>14.916666666666666</v>
      </c>
      <c r="P192" s="13">
        <v>179</v>
      </c>
      <c r="Q192" s="22">
        <v>3.1507605241216874E-2</v>
      </c>
      <c r="R192" s="19">
        <f t="shared" si="19"/>
        <v>3.1491003395612394E-2</v>
      </c>
      <c r="S192" s="22">
        <v>3.1506830393037921E-2</v>
      </c>
      <c r="T192" s="19">
        <f t="shared" si="20"/>
        <v>3.1629708366647247E-2</v>
      </c>
      <c r="U192" s="24">
        <v>3.5897037654124553E-2</v>
      </c>
      <c r="V192" s="24">
        <f t="shared" si="21"/>
        <v>3.5982604865612E-2</v>
      </c>
      <c r="W192" s="23">
        <f t="shared" si="22"/>
        <v>2.9562885321368082E-3</v>
      </c>
      <c r="X192" s="24">
        <v>3.5017000071229543E-2</v>
      </c>
      <c r="Y192" s="24">
        <f t="shared" si="23"/>
        <v>3.5109332788190395E-2</v>
      </c>
      <c r="Z192" s="23">
        <f t="shared" si="24"/>
        <v>2.8857614792929809E-3</v>
      </c>
      <c r="AA192" s="36"/>
    </row>
    <row r="193" spans="4:27" ht="13.9" customHeight="1">
      <c r="D193" s="8"/>
      <c r="E193" s="9"/>
      <c r="F193" s="19"/>
      <c r="G193" s="19"/>
      <c r="H193" s="19"/>
      <c r="J193" s="45"/>
      <c r="K193" s="45"/>
      <c r="L193" s="45"/>
      <c r="M193" s="43"/>
      <c r="O193" s="12">
        <f t="shared" si="18"/>
        <v>15</v>
      </c>
      <c r="P193" s="13">
        <v>180</v>
      </c>
      <c r="Q193" s="22">
        <v>3.1507513008003141E-2</v>
      </c>
      <c r="R193" s="19">
        <f t="shared" si="19"/>
        <v>3.1407295373881761E-2</v>
      </c>
      <c r="S193" s="22">
        <v>3.1507513008015353E-2</v>
      </c>
      <c r="T193" s="19">
        <f t="shared" si="20"/>
        <v>3.1555984109324253E-2</v>
      </c>
      <c r="U193" s="24">
        <v>3.5897513007998372E-2</v>
      </c>
      <c r="V193" s="24">
        <f t="shared" si="21"/>
        <v>3.5905442877425697E-2</v>
      </c>
      <c r="W193" s="23">
        <f t="shared" si="22"/>
        <v>2.9502060697415011E-3</v>
      </c>
      <c r="X193" s="24">
        <v>3.5017513008016365E-2</v>
      </c>
      <c r="Y193" s="24">
        <f t="shared" si="23"/>
        <v>3.5032833597816504E-2</v>
      </c>
      <c r="Z193" s="23">
        <f t="shared" si="24"/>
        <v>2.8797265260995797E-3</v>
      </c>
      <c r="AA193" s="36"/>
    </row>
    <row r="194" spans="4:27" ht="13.9" customHeight="1">
      <c r="D194" s="8"/>
      <c r="E194" s="9"/>
      <c r="F194" s="19"/>
      <c r="G194" s="19"/>
      <c r="H194" s="19"/>
      <c r="J194" s="45"/>
      <c r="K194" s="45"/>
      <c r="L194" s="45"/>
      <c r="M194" s="43"/>
      <c r="O194" s="12">
        <f t="shared" si="18"/>
        <v>15.083333333333334</v>
      </c>
      <c r="P194" s="13">
        <v>181</v>
      </c>
      <c r="Q194" s="22">
        <v>3.1506959292666448E-2</v>
      </c>
      <c r="R194" s="19">
        <f t="shared" si="19"/>
        <v>3.1324316153895193E-2</v>
      </c>
      <c r="S194" s="22">
        <v>3.1507780797898288E-2</v>
      </c>
      <c r="T194" s="19">
        <f t="shared" si="20"/>
        <v>3.1482471611126162E-2</v>
      </c>
      <c r="U194" s="24">
        <v>3.5897556819264986E-2</v>
      </c>
      <c r="V194" s="24">
        <f t="shared" si="21"/>
        <v>3.5828648568230648E-2</v>
      </c>
      <c r="W194" s="23">
        <f t="shared" si="22"/>
        <v>2.9439807179509891E-3</v>
      </c>
      <c r="X194" s="24">
        <v>3.5017597651535892E-2</v>
      </c>
      <c r="Y194" s="24">
        <f t="shared" si="23"/>
        <v>3.4956673689894746E-2</v>
      </c>
      <c r="Z194" s="23">
        <f t="shared" si="24"/>
        <v>2.8735498769667522E-3</v>
      </c>
      <c r="AA194" s="36"/>
    </row>
    <row r="195" spans="4:27" ht="13.9" customHeight="1">
      <c r="D195" s="8"/>
      <c r="E195" s="9"/>
      <c r="F195" s="19"/>
      <c r="G195" s="19"/>
      <c r="H195" s="19"/>
      <c r="J195" s="45"/>
      <c r="K195" s="45"/>
      <c r="L195" s="45"/>
      <c r="M195" s="43"/>
      <c r="O195" s="12">
        <f t="shared" si="18"/>
        <v>15.166666666666666</v>
      </c>
      <c r="P195" s="13">
        <v>182</v>
      </c>
      <c r="Q195" s="22">
        <v>3.1505955670569685E-2</v>
      </c>
      <c r="R195" s="19">
        <f t="shared" si="19"/>
        <v>3.1242701531862149E-2</v>
      </c>
      <c r="S195" s="22">
        <v>3.1507641734735747E-2</v>
      </c>
      <c r="T195" s="19">
        <f t="shared" si="20"/>
        <v>3.1409637356077047E-2</v>
      </c>
      <c r="U195" s="24">
        <v>3.5897178189976842E-2</v>
      </c>
      <c r="V195" s="24">
        <f t="shared" si="21"/>
        <v>3.5752748073732299E-2</v>
      </c>
      <c r="W195" s="23">
        <f t="shared" si="22"/>
        <v>2.9377846080833603E-3</v>
      </c>
      <c r="X195" s="24">
        <v>3.5017262894695644E-2</v>
      </c>
      <c r="Y195" s="24">
        <f t="shared" si="23"/>
        <v>3.4881367692285226E-2</v>
      </c>
      <c r="Z195" s="23">
        <f t="shared" si="24"/>
        <v>2.8674002062556436E-3</v>
      </c>
      <c r="AA195" s="36"/>
    </row>
    <row r="196" spans="4:27" ht="13.9" customHeight="1">
      <c r="D196" s="8"/>
      <c r="E196" s="9"/>
      <c r="F196" s="19"/>
      <c r="G196" s="19"/>
      <c r="H196" s="19"/>
      <c r="J196" s="45"/>
      <c r="K196" s="45"/>
      <c r="L196" s="45"/>
      <c r="M196" s="43"/>
      <c r="O196" s="12">
        <f t="shared" si="18"/>
        <v>15.25</v>
      </c>
      <c r="P196" s="13">
        <v>183</v>
      </c>
      <c r="Q196" s="22">
        <v>3.1504516940767502E-2</v>
      </c>
      <c r="R196" s="19">
        <f t="shared" si="19"/>
        <v>3.1162448403841303E-2</v>
      </c>
      <c r="S196" s="22">
        <v>3.1507106166379195E-2</v>
      </c>
      <c r="T196" s="19">
        <f t="shared" si="20"/>
        <v>3.1337470701693348E-2</v>
      </c>
      <c r="U196" s="24">
        <v>3.589638889964486E-2</v>
      </c>
      <c r="V196" s="24">
        <f t="shared" si="21"/>
        <v>3.5677732626286041E-2</v>
      </c>
      <c r="W196" s="23">
        <f t="shared" si="22"/>
        <v>2.9316602014233251E-3</v>
      </c>
      <c r="X196" s="24">
        <v>3.5016520249472771E-2</v>
      </c>
      <c r="Y196" s="24">
        <f t="shared" si="23"/>
        <v>3.4806906396221082E-2</v>
      </c>
      <c r="Z196" s="23">
        <f t="shared" si="24"/>
        <v>2.8613190782000864E-3</v>
      </c>
      <c r="AA196" s="36"/>
    </row>
    <row r="197" spans="4:27" ht="13.9" customHeight="1">
      <c r="D197" s="8"/>
      <c r="E197" s="9"/>
      <c r="F197" s="19"/>
      <c r="G197" s="19"/>
      <c r="H197" s="19"/>
      <c r="J197" s="45"/>
      <c r="K197" s="45"/>
      <c r="L197" s="45"/>
      <c r="M197" s="43"/>
      <c r="O197" s="12">
        <f t="shared" si="18"/>
        <v>15.333333333333334</v>
      </c>
      <c r="P197" s="13">
        <v>184</v>
      </c>
      <c r="Q197" s="22">
        <v>3.1502657565986691E-2</v>
      </c>
      <c r="R197" s="19">
        <f t="shared" si="19"/>
        <v>3.1083553676125808E-2</v>
      </c>
      <c r="S197" s="22">
        <v>3.1506184159102002E-2</v>
      </c>
      <c r="T197" s="19">
        <f t="shared" si="20"/>
        <v>3.1265961073273063E-2</v>
      </c>
      <c r="U197" s="24">
        <v>3.5895200425579254E-2</v>
      </c>
      <c r="V197" s="24">
        <f t="shared" si="21"/>
        <v>3.5603593511187359E-2</v>
      </c>
      <c r="W197" s="23">
        <f t="shared" si="22"/>
        <v>2.9256068049152706E-3</v>
      </c>
      <c r="X197" s="24">
        <v>3.5015380929002804E-2</v>
      </c>
      <c r="Y197" s="24">
        <f t="shared" si="23"/>
        <v>3.4733280649376308E-2</v>
      </c>
      <c r="Z197" s="23">
        <f t="shared" si="24"/>
        <v>2.8553057628393219E-3</v>
      </c>
      <c r="AA197" s="36"/>
    </row>
    <row r="198" spans="4:27" ht="13.9" customHeight="1">
      <c r="D198" s="8"/>
      <c r="E198" s="9"/>
      <c r="F198" s="19"/>
      <c r="G198" s="19"/>
      <c r="H198" s="19"/>
      <c r="J198" s="45"/>
      <c r="K198" s="45"/>
      <c r="L198" s="45"/>
      <c r="M198" s="43"/>
      <c r="O198" s="12">
        <f t="shared" si="18"/>
        <v>15.416666666666666</v>
      </c>
      <c r="P198" s="13">
        <v>185</v>
      </c>
      <c r="Q198" s="22">
        <v>3.1500391681692941E-2</v>
      </c>
      <c r="R198" s="19">
        <f t="shared" si="19"/>
        <v>3.1006014265804405E-2</v>
      </c>
      <c r="S198" s="22">
        <v>3.1504885505527991E-2</v>
      </c>
      <c r="T198" s="19">
        <f t="shared" si="20"/>
        <v>3.119509796241382E-2</v>
      </c>
      <c r="U198" s="24">
        <v>3.5893623951286369E-2</v>
      </c>
      <c r="V198" s="24">
        <f t="shared" si="21"/>
        <v>3.5530322066170017E-2</v>
      </c>
      <c r="W198" s="23">
        <f t="shared" si="22"/>
        <v>2.9196237294231153E-3</v>
      </c>
      <c r="X198" s="24">
        <v>3.5013855855906106E-2</v>
      </c>
      <c r="Y198" s="24">
        <f t="shared" si="23"/>
        <v>3.4660481355897721E-2</v>
      </c>
      <c r="Z198" s="23">
        <f t="shared" si="24"/>
        <v>2.8493595344243339E-3</v>
      </c>
      <c r="AA198" s="36"/>
    </row>
    <row r="199" spans="4:27" ht="13.9" customHeight="1">
      <c r="D199" s="8"/>
      <c r="E199" s="9"/>
      <c r="F199" s="19"/>
      <c r="G199" s="19"/>
      <c r="H199" s="19"/>
      <c r="J199" s="45"/>
      <c r="K199" s="45"/>
      <c r="L199" s="45"/>
      <c r="M199" s="43"/>
      <c r="O199" s="12">
        <f t="shared" si="18"/>
        <v>15.5</v>
      </c>
      <c r="P199" s="13">
        <v>186</v>
      </c>
      <c r="Q199" s="22">
        <v>3.1497733104869807E-2</v>
      </c>
      <c r="R199" s="19">
        <f t="shared" si="19"/>
        <v>3.0929824161547437E-2</v>
      </c>
      <c r="S199" s="22">
        <v>3.1503219732297527E-2</v>
      </c>
      <c r="T199" s="19">
        <f t="shared" si="20"/>
        <v>3.1124870927813797E-2</v>
      </c>
      <c r="U199" s="24">
        <v>3.5891670374593732E-2</v>
      </c>
      <c r="V199" s="24">
        <f t="shared" si="21"/>
        <v>3.5457909681961386E-2</v>
      </c>
      <c r="W199" s="23">
        <f t="shared" si="22"/>
        <v>2.9137102896963363E-3</v>
      </c>
      <c r="X199" s="24">
        <v>3.501195567034765E-2</v>
      </c>
      <c r="Y199" s="24">
        <f t="shared" si="23"/>
        <v>3.458849947631859E-2</v>
      </c>
      <c r="Z199" s="23">
        <f t="shared" si="24"/>
        <v>2.8434796714273958E-3</v>
      </c>
      <c r="AA199" s="36"/>
    </row>
    <row r="200" spans="4:27" ht="13.9" customHeight="1">
      <c r="D200" s="8"/>
      <c r="E200" s="9"/>
      <c r="F200" s="19"/>
      <c r="G200" s="19"/>
      <c r="H200" s="19"/>
      <c r="J200" s="45"/>
      <c r="K200" s="45"/>
      <c r="L200" s="45"/>
      <c r="M200" s="43"/>
      <c r="O200" s="12">
        <f t="shared" si="18"/>
        <v>15.583333333333334</v>
      </c>
      <c r="P200" s="13">
        <v>187</v>
      </c>
      <c r="Q200" s="22">
        <v>3.1494695326793387E-2</v>
      </c>
      <c r="R200" s="19">
        <f t="shared" si="19"/>
        <v>3.0854968536516703E-2</v>
      </c>
      <c r="S200" s="22">
        <v>3.1501196107494245E-2</v>
      </c>
      <c r="T200" s="19">
        <f t="shared" si="20"/>
        <v>3.1055269593623036E-2</v>
      </c>
      <c r="U200" s="24">
        <v>3.5889350315519764E-2</v>
      </c>
      <c r="V200" s="24">
        <f t="shared" si="21"/>
        <v>3.5386347802603746E-2</v>
      </c>
      <c r="W200" s="23">
        <f t="shared" si="22"/>
        <v>2.9078658044221495E-3</v>
      </c>
      <c r="X200" s="24">
        <v>3.5009690737840105E-2</v>
      </c>
      <c r="Y200" s="24">
        <f t="shared" si="23"/>
        <v>3.4517326028039363E-2</v>
      </c>
      <c r="Z200" s="23">
        <f t="shared" si="24"/>
        <v>2.8376654565416271E-3</v>
      </c>
      <c r="AA200" s="36"/>
    </row>
    <row r="201" spans="4:27" ht="13.9" customHeight="1">
      <c r="D201" s="8"/>
      <c r="E201" s="9"/>
      <c r="F201" s="19"/>
      <c r="G201" s="19"/>
      <c r="H201" s="19"/>
      <c r="J201" s="45"/>
      <c r="K201" s="45"/>
      <c r="L201" s="45"/>
      <c r="M201" s="43"/>
      <c r="O201" s="12">
        <f t="shared" si="18"/>
        <v>15.666666666666666</v>
      </c>
      <c r="P201" s="13">
        <v>188</v>
      </c>
      <c r="Q201" s="22">
        <v>3.1491291474698535E-2</v>
      </c>
      <c r="R201" s="19">
        <f t="shared" si="19"/>
        <v>3.0781441398981979E-2</v>
      </c>
      <c r="S201" s="22">
        <v>3.1498823647826191E-2</v>
      </c>
      <c r="T201" s="19">
        <f t="shared" si="20"/>
        <v>3.0986283650445978E-2</v>
      </c>
      <c r="U201" s="24">
        <v>3.5886674123895235E-2</v>
      </c>
      <c r="V201" s="24">
        <f t="shared" si="21"/>
        <v>3.5315627925498694E-2</v>
      </c>
      <c r="W201" s="23">
        <f t="shared" si="22"/>
        <v>2.9020895962572624E-3</v>
      </c>
      <c r="X201" s="24">
        <v>3.5007071156801794E-2</v>
      </c>
      <c r="Y201" s="24">
        <f t="shared" si="23"/>
        <v>3.4446952084912219E-2</v>
      </c>
      <c r="Z201" s="23">
        <f t="shared" si="24"/>
        <v>2.8319161767267342E-3</v>
      </c>
      <c r="AA201" s="36"/>
    </row>
    <row r="202" spans="4:27" ht="13.9" customHeight="1">
      <c r="D202" s="8"/>
      <c r="E202" s="9"/>
      <c r="F202" s="19"/>
      <c r="G202" s="19"/>
      <c r="H202" s="19"/>
      <c r="J202" s="45"/>
      <c r="K202" s="45"/>
      <c r="L202" s="45"/>
      <c r="M202" s="43"/>
      <c r="O202" s="12">
        <f t="shared" si="18"/>
        <v>15.75</v>
      </c>
      <c r="P202" s="13">
        <v>189</v>
      </c>
      <c r="Q202" s="22">
        <v>3.1487534368104031E-2</v>
      </c>
      <c r="R202" s="19">
        <f t="shared" si="19"/>
        <v>3.070923971444528E-2</v>
      </c>
      <c r="S202" s="22">
        <v>3.1496111125587367E-2</v>
      </c>
      <c r="T202" s="19">
        <f t="shared" si="20"/>
        <v>3.0917902853744295E-2</v>
      </c>
      <c r="U202" s="24">
        <v>3.5883651886745138E-2</v>
      </c>
      <c r="V202" s="24">
        <f t="shared" si="21"/>
        <v>3.5245741601636738E-2</v>
      </c>
      <c r="W202" s="23">
        <f t="shared" si="22"/>
        <v>2.8963809918380878E-3</v>
      </c>
      <c r="X202" s="24">
        <v>3.5004106765874621E-2</v>
      </c>
      <c r="Y202" s="24">
        <f t="shared" si="23"/>
        <v>3.4377368777634532E-2</v>
      </c>
      <c r="Z202" s="23">
        <f t="shared" si="24"/>
        <v>2.8262311231816994E-3</v>
      </c>
      <c r="AA202" s="36"/>
    </row>
    <row r="203" spans="4:27" ht="13.9" customHeight="1">
      <c r="D203" s="8"/>
      <c r="E203" s="9"/>
      <c r="F203" s="19"/>
      <c r="G203" s="19"/>
      <c r="H203" s="19"/>
      <c r="J203" s="45"/>
      <c r="K203" s="45"/>
      <c r="L203" s="45"/>
      <c r="M203" s="43"/>
      <c r="O203" s="12">
        <f t="shared" si="18"/>
        <v>15.833333333333334</v>
      </c>
      <c r="P203" s="13">
        <v>190</v>
      </c>
      <c r="Q203" s="22">
        <v>3.1483436542416587E-2</v>
      </c>
      <c r="R203" s="19">
        <f t="shared" si="19"/>
        <v>3.0638360467165171E-2</v>
      </c>
      <c r="S203" s="22">
        <v>3.1493067075391457E-2</v>
      </c>
      <c r="T203" s="19">
        <f t="shared" si="20"/>
        <v>3.0850117024326273E-2</v>
      </c>
      <c r="U203" s="24">
        <v>3.5880293435439858E-2</v>
      </c>
      <c r="V203" s="24">
        <f t="shared" si="21"/>
        <v>3.5176680435350827E-2</v>
      </c>
      <c r="W203" s="23">
        <f t="shared" si="22"/>
        <v>2.8907393218058353E-3</v>
      </c>
      <c r="X203" s="24">
        <v>3.5000807151014168E-2</v>
      </c>
      <c r="Y203" s="24">
        <f t="shared" si="23"/>
        <v>3.4308567293577008E-2</v>
      </c>
      <c r="Z203" s="23">
        <f t="shared" si="24"/>
        <v>2.8206095913831941E-3</v>
      </c>
      <c r="AA203" s="36"/>
    </row>
    <row r="204" spans="4:27" ht="13.9" customHeight="1">
      <c r="D204" s="8"/>
      <c r="E204" s="9"/>
      <c r="F204" s="19"/>
      <c r="G204" s="19"/>
      <c r="H204" s="19"/>
      <c r="J204" s="45"/>
      <c r="K204" s="45"/>
      <c r="L204" s="45"/>
      <c r="M204" s="43"/>
      <c r="O204" s="12">
        <f t="shared" si="18"/>
        <v>15.916666666666666</v>
      </c>
      <c r="P204" s="13">
        <v>191</v>
      </c>
      <c r="Q204" s="22">
        <v>3.1479010256403761E-2</v>
      </c>
      <c r="R204" s="19">
        <f t="shared" si="19"/>
        <v>3.0568800660687012E-2</v>
      </c>
      <c r="S204" s="22">
        <v>3.1489699800698601E-2</v>
      </c>
      <c r="T204" s="19">
        <f t="shared" si="20"/>
        <v>3.0782916047477293E-2</v>
      </c>
      <c r="U204" s="24">
        <v>3.5876608352622963E-2</v>
      </c>
      <c r="V204" s="24">
        <f t="shared" si="21"/>
        <v>3.5108436085031558E-2</v>
      </c>
      <c r="W204" s="23">
        <f t="shared" si="22"/>
        <v>2.8851639207925217E-3</v>
      </c>
      <c r="X204" s="24">
        <v>3.4997181652357767E-2</v>
      </c>
      <c r="Y204" s="24">
        <f t="shared" si="23"/>
        <v>3.4240538876887161E-2</v>
      </c>
      <c r="Z204" s="23">
        <f t="shared" si="24"/>
        <v>2.8150508810782515E-3</v>
      </c>
      <c r="AA204" s="36"/>
    </row>
    <row r="205" spans="4:27" ht="13.9" customHeight="1">
      <c r="D205" s="8"/>
      <c r="E205" s="9"/>
      <c r="F205" s="19"/>
      <c r="G205" s="19"/>
      <c r="H205" s="19"/>
      <c r="J205" s="45"/>
      <c r="K205" s="45"/>
      <c r="L205" s="45"/>
      <c r="M205" s="43"/>
      <c r="O205" s="12">
        <f t="shared" si="18"/>
        <v>16</v>
      </c>
      <c r="P205" s="13">
        <v>192</v>
      </c>
      <c r="Q205" s="22">
        <v>3.1474267499437936E-2</v>
      </c>
      <c r="R205" s="19">
        <f t="shared" si="19"/>
        <v>3.0500554416708736E-2</v>
      </c>
      <c r="S205" s="22">
        <v>3.1486017380134124E-2</v>
      </c>
      <c r="T205" s="19">
        <f t="shared" si="20"/>
        <v>3.0716289872793734E-2</v>
      </c>
      <c r="U205" s="24">
        <v>3.5872605978926941E-2</v>
      </c>
      <c r="V205" s="24">
        <f t="shared" si="21"/>
        <v>3.5041000263012601E-2</v>
      </c>
      <c r="W205" s="23">
        <f t="shared" si="22"/>
        <v>2.8796541274853649E-3</v>
      </c>
      <c r="X205" s="24">
        <v>3.4993239370880724E-2</v>
      </c>
      <c r="Y205" s="24">
        <f t="shared" si="23"/>
        <v>3.4173274828795064E-2</v>
      </c>
      <c r="Z205" s="23">
        <f t="shared" si="24"/>
        <v>2.8095542962978115E-3</v>
      </c>
      <c r="AA205" s="36"/>
    </row>
    <row r="206" spans="4:27" ht="13.9" customHeight="1">
      <c r="D206" s="8"/>
      <c r="E206" s="9"/>
      <c r="F206" s="19"/>
      <c r="G206" s="19"/>
      <c r="H206" s="19"/>
      <c r="J206" s="45"/>
      <c r="K206" s="45"/>
      <c r="L206" s="45"/>
      <c r="M206" s="43"/>
      <c r="O206" s="12">
        <f t="shared" ref="O206:O269" si="25">P206/12</f>
        <v>16.083333333333332</v>
      </c>
      <c r="P206" s="13">
        <v>193</v>
      </c>
      <c r="Q206" s="22">
        <v>3.1469219983469854E-2</v>
      </c>
      <c r="R206" s="19">
        <f t="shared" ref="R206:R269" si="26">(1+Q207)^P207/(1+Q206)^P206-1</f>
        <v>3.0433607167343446E-2</v>
      </c>
      <c r="S206" s="22">
        <v>3.1482027673612745E-2</v>
      </c>
      <c r="T206" s="19">
        <f t="shared" ref="T206:T269" si="27">(1+S207)^P207/(1+S206)^P206-1</f>
        <v>3.0650228513300792E-2</v>
      </c>
      <c r="U206" s="24">
        <v>3.5868295419480667E-2</v>
      </c>
      <c r="V206" s="24">
        <f t="shared" ref="V206:V269" si="28">(1+U207)^P207/(1+U206)^P206-1</f>
        <v>3.4974364735520735E-2</v>
      </c>
      <c r="W206" s="23">
        <f t="shared" si="22"/>
        <v>2.8742092846227862E-3</v>
      </c>
      <c r="X206" s="24">
        <v>3.4988989174847385E-2</v>
      </c>
      <c r="Y206" s="24">
        <f t="shared" si="23"/>
        <v>3.410676650659572E-2</v>
      </c>
      <c r="Z206" s="23">
        <f t="shared" si="24"/>
        <v>2.804119145389139E-3</v>
      </c>
      <c r="AA206" s="36"/>
    </row>
    <row r="207" spans="4:27" ht="13.9" customHeight="1">
      <c r="D207" s="8"/>
      <c r="E207" s="9"/>
      <c r="F207" s="19"/>
      <c r="G207" s="19"/>
      <c r="H207" s="19"/>
      <c r="J207" s="45"/>
      <c r="K207" s="45"/>
      <c r="L207" s="45"/>
      <c r="M207" s="43"/>
      <c r="O207" s="12">
        <f t="shared" si="25"/>
        <v>16.166666666666668</v>
      </c>
      <c r="P207" s="13">
        <v>194</v>
      </c>
      <c r="Q207" s="22">
        <v>3.1463879105282366E-2</v>
      </c>
      <c r="R207" s="19">
        <f t="shared" si="26"/>
        <v>3.036795307190876E-2</v>
      </c>
      <c r="S207" s="22">
        <v>3.1477738328268279E-2</v>
      </c>
      <c r="T207" s="19">
        <f t="shared" si="27"/>
        <v>3.0584722045773116E-2</v>
      </c>
      <c r="U207" s="24">
        <v>3.5863685550218127E-2</v>
      </c>
      <c r="V207" s="24">
        <f t="shared" si="28"/>
        <v>3.4908521322700725E-2</v>
      </c>
      <c r="W207" s="23">
        <f t="shared" ref="W207:W270" si="29">(1+V206)^(1/12)-1</f>
        <v>2.8688287389975198E-3</v>
      </c>
      <c r="X207" s="24">
        <v>3.4984439706060133E-2</v>
      </c>
      <c r="Y207" s="24">
        <f t="shared" ref="Y207:Y270" si="30">(1+X208)^P208/(1+X207)^P207-1</f>
        <v>3.4041005325000651E-2</v>
      </c>
      <c r="Z207" s="23">
        <f t="shared" ref="Z207:Z270" si="31">(1+Y206)^(1/12)-1</f>
        <v>2.7987447409381083E-3</v>
      </c>
      <c r="AA207" s="36"/>
    </row>
    <row r="208" spans="4:27" ht="13.9" customHeight="1">
      <c r="D208" s="8"/>
      <c r="E208" s="9"/>
      <c r="F208" s="19"/>
      <c r="G208" s="19"/>
      <c r="H208" s="19"/>
      <c r="J208" s="45"/>
      <c r="K208" s="45"/>
      <c r="L208" s="45"/>
      <c r="M208" s="43"/>
      <c r="O208" s="12">
        <f t="shared" si="25"/>
        <v>16.25</v>
      </c>
      <c r="P208" s="13">
        <v>195</v>
      </c>
      <c r="Q208" s="22">
        <v>3.145825599930463E-2</v>
      </c>
      <c r="R208" s="19">
        <f t="shared" si="26"/>
        <v>3.0303589217209659E-2</v>
      </c>
      <c r="S208" s="22">
        <v>3.1473156784205258E-2</v>
      </c>
      <c r="T208" s="19">
        <f t="shared" si="27"/>
        <v>3.0519760609724722E-2</v>
      </c>
      <c r="U208" s="24">
        <v>3.5858785023993311E-2</v>
      </c>
      <c r="V208" s="24">
        <f t="shared" si="28"/>
        <v>3.4843461899172645E-2</v>
      </c>
      <c r="W208" s="23">
        <f t="shared" si="29"/>
        <v>2.8635118414634952E-3</v>
      </c>
      <c r="X208" s="24">
        <v>3.4979599385923432E-2</v>
      </c>
      <c r="Y208" s="24">
        <f t="shared" si="30"/>
        <v>3.3975982754897993E-2</v>
      </c>
      <c r="Z208" s="23">
        <f t="shared" si="31"/>
        <v>2.7934303998855547E-3</v>
      </c>
      <c r="AA208" s="36"/>
    </row>
    <row r="209" spans="4:27" ht="13.9" customHeight="1">
      <c r="D209" s="8"/>
      <c r="E209" s="9"/>
      <c r="F209" s="19"/>
      <c r="G209" s="19"/>
      <c r="H209" s="19"/>
      <c r="J209" s="45"/>
      <c r="K209" s="45"/>
      <c r="L209" s="45"/>
      <c r="M209" s="43"/>
      <c r="O209" s="12">
        <f t="shared" si="25"/>
        <v>16.333333333333332</v>
      </c>
      <c r="P209" s="13">
        <v>196</v>
      </c>
      <c r="Q209" s="22">
        <v>3.1452361559202391E-2</v>
      </c>
      <c r="R209" s="19">
        <f t="shared" si="26"/>
        <v>3.0240512715671519E-2</v>
      </c>
      <c r="S209" s="22">
        <v>3.1468290280069144E-2</v>
      </c>
      <c r="T209" s="19">
        <f t="shared" si="27"/>
        <v>3.0455334406927159E-2</v>
      </c>
      <c r="U209" s="24">
        <v>3.5853602276512353E-2</v>
      </c>
      <c r="V209" s="24">
        <f t="shared" si="28"/>
        <v>3.4779178393524068E-2</v>
      </c>
      <c r="W209" s="23">
        <f t="shared" si="29"/>
        <v>2.8582579469871305E-3</v>
      </c>
      <c r="X209" s="24">
        <v>3.4974476421317346E-2</v>
      </c>
      <c r="Y209" s="24">
        <f t="shared" si="30"/>
        <v>3.3911690324264443E-2</v>
      </c>
      <c r="Z209" s="23">
        <f t="shared" si="31"/>
        <v>2.7881754434322392E-3</v>
      </c>
      <c r="AA209" s="36"/>
    </row>
    <row r="210" spans="4:27" ht="13.9" customHeight="1">
      <c r="D210" s="8"/>
      <c r="E210" s="9"/>
      <c r="F210" s="19"/>
      <c r="G210" s="19"/>
      <c r="H210" s="19"/>
      <c r="J210" s="45"/>
      <c r="K210" s="45"/>
      <c r="L210" s="45"/>
      <c r="M210" s="43"/>
      <c r="O210" s="12">
        <f t="shared" si="25"/>
        <v>16.416666666666668</v>
      </c>
      <c r="P210" s="13">
        <v>197</v>
      </c>
      <c r="Q210" s="22">
        <v>3.144620644406726E-2</v>
      </c>
      <c r="R210" s="19">
        <f t="shared" si="26"/>
        <v>3.0178720707117357E-2</v>
      </c>
      <c r="S210" s="22">
        <v>3.1463145858446895E-2</v>
      </c>
      <c r="T210" s="19">
        <f t="shared" si="27"/>
        <v>3.0391433701314474E-2</v>
      </c>
      <c r="U210" s="24">
        <v>3.5848145532084263E-2</v>
      </c>
      <c r="V210" s="24">
        <f t="shared" si="28"/>
        <v>3.4715662788553425E-2</v>
      </c>
      <c r="W210" s="23">
        <f t="shared" si="29"/>
        <v>2.8530664146122486E-3</v>
      </c>
      <c r="X210" s="24">
        <v>3.4969078810298759E-2</v>
      </c>
      <c r="Y210" s="24">
        <f t="shared" si="30"/>
        <v>3.3848119617097883E-2</v>
      </c>
      <c r="Z210" s="23">
        <f t="shared" si="31"/>
        <v>2.7829791971183404E-3</v>
      </c>
      <c r="AA210" s="36"/>
    </row>
    <row r="211" spans="4:27" ht="13.9" customHeight="1">
      <c r="D211" s="8"/>
      <c r="E211" s="9"/>
      <c r="F211" s="19"/>
      <c r="G211" s="19"/>
      <c r="H211" s="19"/>
      <c r="J211" s="45"/>
      <c r="K211" s="45"/>
      <c r="L211" s="45"/>
      <c r="M211" s="43"/>
      <c r="O211" s="12">
        <f t="shared" si="25"/>
        <v>16.5</v>
      </c>
      <c r="P211" s="13">
        <v>198</v>
      </c>
      <c r="Q211" s="22">
        <v>3.1439801084429897E-2</v>
      </c>
      <c r="R211" s="19">
        <f t="shared" si="26"/>
        <v>3.0118207495979377E-2</v>
      </c>
      <c r="S211" s="22">
        <v>3.1457730371102999E-2</v>
      </c>
      <c r="T211" s="19">
        <f t="shared" si="27"/>
        <v>3.0328048818478726E-2</v>
      </c>
      <c r="U211" s="24">
        <v>3.5842422809198915E-2</v>
      </c>
      <c r="V211" s="24">
        <f t="shared" si="28"/>
        <v>3.4652907121465182E-2</v>
      </c>
      <c r="W211" s="23">
        <f t="shared" si="29"/>
        <v>2.8479366074849466E-3</v>
      </c>
      <c r="X211" s="24">
        <v>3.4963414347624289E-2</v>
      </c>
      <c r="Y211" s="24">
        <f t="shared" si="30"/>
        <v>3.3785262274273586E-2</v>
      </c>
      <c r="Z211" s="23">
        <f t="shared" si="31"/>
        <v>2.7778409907435186E-3</v>
      </c>
      <c r="AA211" s="36"/>
    </row>
    <row r="212" spans="4:27" ht="13.9" customHeight="1">
      <c r="D212" s="8"/>
      <c r="E212" s="9"/>
      <c r="F212" s="19"/>
      <c r="G212" s="19"/>
      <c r="H212" s="19"/>
      <c r="J212" s="45"/>
      <c r="K212" s="45"/>
      <c r="L212" s="45"/>
      <c r="M212" s="43"/>
      <c r="O212" s="12">
        <f t="shared" si="25"/>
        <v>16.583333333333332</v>
      </c>
      <c r="P212" s="13">
        <v>199</v>
      </c>
      <c r="Q212" s="22">
        <v>3.1433155673689095E-2</v>
      </c>
      <c r="R212" s="19">
        <f t="shared" si="26"/>
        <v>3.0058958820686765E-2</v>
      </c>
      <c r="S212" s="22">
        <v>3.1452050484057192E-2</v>
      </c>
      <c r="T212" s="19">
        <f t="shared" si="27"/>
        <v>3.0265170144630593E-2</v>
      </c>
      <c r="U212" s="24">
        <v>3.5836441925939377E-2</v>
      </c>
      <c r="V212" s="24">
        <f t="shared" si="28"/>
        <v>3.4590903483765256E-2</v>
      </c>
      <c r="W212" s="23">
        <f t="shared" si="29"/>
        <v>2.8428678928746898E-3</v>
      </c>
      <c r="X212" s="24">
        <v>3.495749063011333E-2</v>
      </c>
      <c r="Y212" s="24">
        <f t="shared" si="30"/>
        <v>3.3723109992946032E-2</v>
      </c>
      <c r="Z212" s="23">
        <f t="shared" si="31"/>
        <v>2.7727601584406347E-3</v>
      </c>
      <c r="AA212" s="36"/>
    </row>
    <row r="213" spans="4:27" ht="13.9" customHeight="1">
      <c r="D213" s="8"/>
      <c r="E213" s="9"/>
      <c r="F213" s="19"/>
      <c r="G213" s="19"/>
      <c r="H213" s="19"/>
      <c r="J213" s="45"/>
      <c r="K213" s="45"/>
      <c r="L213" s="45"/>
      <c r="M213" s="43"/>
      <c r="O213" s="12">
        <f t="shared" si="25"/>
        <v>16.666666666666668</v>
      </c>
      <c r="P213" s="13">
        <v>200</v>
      </c>
      <c r="Q213" s="22">
        <v>3.1426280131103157E-2</v>
      </c>
      <c r="R213" s="19">
        <f t="shared" si="26"/>
        <v>3.0000969039546188E-2</v>
      </c>
      <c r="S213" s="22">
        <v>3.1446112682504967E-2</v>
      </c>
      <c r="T213" s="19">
        <f t="shared" si="27"/>
        <v>3.0202788126874491E-2</v>
      </c>
      <c r="U213" s="24">
        <v>3.5830210505233051E-2</v>
      </c>
      <c r="V213" s="24">
        <f t="shared" si="28"/>
        <v>3.4529644020999672E-2</v>
      </c>
      <c r="W213" s="23">
        <f t="shared" si="29"/>
        <v>2.8378596421725355E-3</v>
      </c>
      <c r="X213" s="24">
        <v>3.4951315061847898E-2</v>
      </c>
      <c r="Y213" s="24">
        <f t="shared" si="30"/>
        <v>3.3661654526476514E-2</v>
      </c>
      <c r="Z213" s="23">
        <f t="shared" si="31"/>
        <v>2.7677360386337835E-3</v>
      </c>
      <c r="AA213" s="36"/>
    </row>
    <row r="214" spans="4:27" ht="13.9" customHeight="1">
      <c r="D214" s="8"/>
      <c r="E214" s="9"/>
      <c r="F214" s="19"/>
      <c r="G214" s="19"/>
      <c r="H214" s="19"/>
      <c r="J214" s="45"/>
      <c r="K214" s="45"/>
      <c r="L214" s="45"/>
      <c r="M214" s="43"/>
      <c r="O214" s="12">
        <f t="shared" si="25"/>
        <v>16.75</v>
      </c>
      <c r="P214" s="13">
        <v>201</v>
      </c>
      <c r="Q214" s="22">
        <v>3.1419184151498802E-2</v>
      </c>
      <c r="R214" s="19">
        <f t="shared" si="26"/>
        <v>2.9944235406799136E-2</v>
      </c>
      <c r="S214" s="22">
        <v>3.1439923275593973E-2</v>
      </c>
      <c r="T214" s="19">
        <f t="shared" si="27"/>
        <v>3.0140893272325497E-2</v>
      </c>
      <c r="U214" s="24">
        <v>3.5823735979944482E-2</v>
      </c>
      <c r="V214" s="24">
        <f t="shared" si="28"/>
        <v>3.446912093322152E-2</v>
      </c>
      <c r="W214" s="23">
        <f t="shared" si="29"/>
        <v>2.8329112308740356E-3</v>
      </c>
      <c r="X214" s="24">
        <v>3.4944894859217701E-2</v>
      </c>
      <c r="Y214" s="24">
        <f t="shared" si="30"/>
        <v>3.3600887684350322E-2</v>
      </c>
      <c r="Z214" s="23">
        <f t="shared" si="31"/>
        <v>2.7627679740369615E-3</v>
      </c>
      <c r="AA214" s="36"/>
    </row>
    <row r="215" spans="4:27" ht="13.9" customHeight="1">
      <c r="D215" s="8"/>
      <c r="E215" s="9"/>
      <c r="F215" s="19"/>
      <c r="G215" s="19"/>
      <c r="H215" s="19"/>
      <c r="J215" s="45"/>
      <c r="K215" s="45"/>
      <c r="L215" s="45"/>
      <c r="M215" s="43"/>
      <c r="O215" s="12">
        <f t="shared" si="25"/>
        <v>16.833333333333332</v>
      </c>
      <c r="P215" s="13">
        <v>202</v>
      </c>
      <c r="Q215" s="22">
        <v>3.1411877225137053E-2</v>
      </c>
      <c r="R215" s="19">
        <f t="shared" si="26"/>
        <v>2.9888755210056406E-2</v>
      </c>
      <c r="S215" s="22">
        <v>3.143348840105431E-2</v>
      </c>
      <c r="T215" s="19">
        <f t="shared" si="27"/>
        <v>3.0079476147516049E-2</v>
      </c>
      <c r="U215" s="24">
        <v>3.581702559782185E-2</v>
      </c>
      <c r="V215" s="24">
        <f t="shared" si="28"/>
        <v>3.4409326474560187E-2</v>
      </c>
      <c r="W215" s="23">
        <f t="shared" si="29"/>
        <v>2.8280220386229793E-3</v>
      </c>
      <c r="X215" s="24">
        <v>3.493823705581578E-2</v>
      </c>
      <c r="Y215" s="24">
        <f t="shared" si="30"/>
        <v>3.3540801332206716E-2</v>
      </c>
      <c r="Z215" s="23">
        <f t="shared" si="31"/>
        <v>2.7578553116536231E-3</v>
      </c>
      <c r="AA215" s="36"/>
    </row>
    <row r="216" spans="4:27" ht="13.9" customHeight="1">
      <c r="D216" s="8"/>
      <c r="E216" s="9"/>
      <c r="F216" s="19"/>
      <c r="G216" s="19"/>
      <c r="H216" s="19"/>
      <c r="J216" s="45"/>
      <c r="K216" s="45"/>
      <c r="L216" s="45"/>
      <c r="M216" s="43"/>
      <c r="O216" s="12">
        <f t="shared" si="25"/>
        <v>16.916666666666668</v>
      </c>
      <c r="P216" s="13">
        <v>203</v>
      </c>
      <c r="Q216" s="22">
        <v>3.1404368642875546E-2</v>
      </c>
      <c r="R216" s="19">
        <f t="shared" si="26"/>
        <v>2.9834525770605635E-2</v>
      </c>
      <c r="S216" s="22">
        <v>3.1426814029690942E-2</v>
      </c>
      <c r="T216" s="19">
        <f t="shared" si="27"/>
        <v>3.0018527378101734E-2</v>
      </c>
      <c r="U216" s="24">
        <v>3.5810086426294463E-2</v>
      </c>
      <c r="V216" s="24">
        <f t="shared" si="28"/>
        <v>3.4350252953479377E-2</v>
      </c>
      <c r="W216" s="23">
        <f t="shared" si="29"/>
        <v>2.823191449181417E-3</v>
      </c>
      <c r="X216" s="24">
        <v>3.4931348507191595E-2</v>
      </c>
      <c r="Y216" s="24">
        <f t="shared" si="30"/>
        <v>3.3481387391483652E-2</v>
      </c>
      <c r="Z216" s="23">
        <f t="shared" si="31"/>
        <v>2.7529974027835635E-3</v>
      </c>
      <c r="AA216" s="36"/>
    </row>
    <row r="217" spans="4:27" ht="13.9" customHeight="1">
      <c r="D217" s="8"/>
      <c r="E217" s="9"/>
      <c r="F217" s="19"/>
      <c r="G217" s="19"/>
      <c r="H217" s="19"/>
      <c r="J217" s="45"/>
      <c r="K217" s="45"/>
      <c r="L217" s="45"/>
      <c r="M217" s="43"/>
      <c r="O217" s="12">
        <f t="shared" si="25"/>
        <v>17</v>
      </c>
      <c r="P217" s="13">
        <v>204</v>
      </c>
      <c r="Q217" s="22">
        <v>3.1396667501180975E-2</v>
      </c>
      <c r="R217" s="19">
        <f t="shared" si="26"/>
        <v>2.9781541620129692E-2</v>
      </c>
      <c r="S217" s="22">
        <v>3.1419905969741979E-2</v>
      </c>
      <c r="T217" s="19">
        <f t="shared" si="27"/>
        <v>2.9958037648519564E-2</v>
      </c>
      <c r="U217" s="24">
        <v>3.5802925357133031E-2</v>
      </c>
      <c r="V217" s="24">
        <f t="shared" si="28"/>
        <v>3.4291892732405183E-2</v>
      </c>
      <c r="W217" s="23">
        <f t="shared" si="29"/>
        <v>2.8184188504560836E-3</v>
      </c>
      <c r="X217" s="24">
        <v>3.4924235895462008E-2</v>
      </c>
      <c r="Y217" s="24">
        <f t="shared" si="30"/>
        <v>3.342263783933852E-2</v>
      </c>
      <c r="Z217" s="23">
        <f t="shared" si="31"/>
        <v>2.7481936030000487E-3</v>
      </c>
      <c r="AA217" s="36"/>
    </row>
    <row r="218" spans="4:27" ht="13.9" customHeight="1">
      <c r="D218" s="8"/>
      <c r="E218" s="9"/>
      <c r="F218" s="19"/>
      <c r="G218" s="19"/>
      <c r="H218" s="19"/>
      <c r="J218" s="45"/>
      <c r="K218" s="45"/>
      <c r="L218" s="45"/>
      <c r="M218" s="43"/>
      <c r="O218" s="12">
        <f t="shared" si="25"/>
        <v>17.083333333333332</v>
      </c>
      <c r="P218" s="13">
        <v>205</v>
      </c>
      <c r="Q218" s="22">
        <v>3.1388782693202666E-2</v>
      </c>
      <c r="R218" s="19">
        <f t="shared" si="26"/>
        <v>2.9729788847003613E-2</v>
      </c>
      <c r="S218" s="22">
        <v>3.1412769871109969E-2</v>
      </c>
      <c r="T218" s="19">
        <f t="shared" si="27"/>
        <v>2.9897997700812917E-2</v>
      </c>
      <c r="U218" s="24">
        <v>3.5795549110970937E-2</v>
      </c>
      <c r="V218" s="24">
        <f t="shared" si="28"/>
        <v>3.423423822829208E-2</v>
      </c>
      <c r="W218" s="23">
        <f t="shared" si="29"/>
        <v>2.81370363447353E-3</v>
      </c>
      <c r="X218" s="24">
        <v>3.4916905733789472E-2</v>
      </c>
      <c r="Y218" s="24">
        <f t="shared" si="30"/>
        <v>3.3364544708596622E-2</v>
      </c>
      <c r="Z218" s="23">
        <f t="shared" si="31"/>
        <v>2.7434432721473723E-3</v>
      </c>
      <c r="AA218" s="36"/>
    </row>
    <row r="219" spans="4:27" ht="13.9" customHeight="1">
      <c r="D219" s="8"/>
      <c r="E219" s="9"/>
      <c r="F219" s="19"/>
      <c r="G219" s="19"/>
      <c r="H219" s="19"/>
      <c r="J219" s="45"/>
      <c r="K219" s="45"/>
      <c r="L219" s="45"/>
      <c r="M219" s="43"/>
      <c r="O219" s="12">
        <f t="shared" si="25"/>
        <v>17.166666666666668</v>
      </c>
      <c r="P219" s="13">
        <v>206</v>
      </c>
      <c r="Q219" s="22">
        <v>3.1380722872614619E-2</v>
      </c>
      <c r="R219" s="19">
        <f t="shared" si="26"/>
        <v>2.9679262052113575E-2</v>
      </c>
      <c r="S219" s="22">
        <v>3.140541122946372E-2</v>
      </c>
      <c r="T219" s="19">
        <f t="shared" si="27"/>
        <v>2.98383983347279E-2</v>
      </c>
      <c r="U219" s="24">
        <v>3.5787964241699166E-2</v>
      </c>
      <c r="V219" s="24">
        <f t="shared" si="28"/>
        <v>3.4177281911492052E-2</v>
      </c>
      <c r="W219" s="23">
        <f t="shared" si="29"/>
        <v>2.8090451974298603E-3</v>
      </c>
      <c r="X219" s="24">
        <v>3.4909364370728557E-2</v>
      </c>
      <c r="Y219" s="24">
        <f t="shared" si="30"/>
        <v>3.3307100087311969E-2</v>
      </c>
      <c r="Z219" s="23">
        <f t="shared" si="31"/>
        <v>2.7387457743424104E-3</v>
      </c>
      <c r="AA219" s="36"/>
    </row>
    <row r="220" spans="4:27" ht="13.9" customHeight="1">
      <c r="D220" s="8"/>
      <c r="E220" s="9"/>
      <c r="F220" s="19"/>
      <c r="G220" s="19"/>
      <c r="H220" s="19"/>
      <c r="J220" s="45"/>
      <c r="K220" s="45"/>
      <c r="L220" s="45"/>
      <c r="M220" s="43"/>
      <c r="O220" s="12">
        <f t="shared" si="25"/>
        <v>17.25</v>
      </c>
      <c r="P220" s="13">
        <v>207</v>
      </c>
      <c r="Q220" s="22">
        <v>3.1372496500545966E-2</v>
      </c>
      <c r="R220" s="19">
        <f t="shared" si="26"/>
        <v>2.9629958699577186E-2</v>
      </c>
      <c r="S220" s="22">
        <v>3.1397835390223339E-2</v>
      </c>
      <c r="T220" s="19">
        <f t="shared" si="27"/>
        <v>2.9779230407349422E-2</v>
      </c>
      <c r="U220" s="24">
        <v>3.5780177140727565E-2</v>
      </c>
      <c r="V220" s="24">
        <f t="shared" si="28"/>
        <v>3.4121016306892571E-2</v>
      </c>
      <c r="W220" s="23">
        <f t="shared" si="29"/>
        <v>2.804442939605245E-3</v>
      </c>
      <c r="X220" s="24">
        <v>3.4901617994446799E-2</v>
      </c>
      <c r="Y220" s="24">
        <f t="shared" si="30"/>
        <v>3.3250296119067491E-2</v>
      </c>
      <c r="Z220" s="23">
        <f t="shared" si="31"/>
        <v>2.7341004779439793E-3</v>
      </c>
      <c r="AA220" s="36"/>
    </row>
    <row r="221" spans="4:27" ht="13.9" customHeight="1">
      <c r="D221" s="8"/>
      <c r="E221" s="9"/>
      <c r="F221" s="19"/>
      <c r="G221" s="19"/>
      <c r="H221" s="19"/>
      <c r="J221" s="45"/>
      <c r="K221" s="45"/>
      <c r="L221" s="45"/>
      <c r="M221" s="43"/>
      <c r="O221" s="12">
        <f t="shared" si="25"/>
        <v>17.333333333333332</v>
      </c>
      <c r="P221" s="13">
        <v>208</v>
      </c>
      <c r="Q221" s="22">
        <v>3.1364111863961597E-2</v>
      </c>
      <c r="R221" s="19">
        <f t="shared" si="26"/>
        <v>2.9581876294069165E-2</v>
      </c>
      <c r="S221" s="22">
        <v>3.1390047552428468E-2</v>
      </c>
      <c r="T221" s="19">
        <f t="shared" si="27"/>
        <v>2.9720484831506244E-2</v>
      </c>
      <c r="U221" s="24">
        <v>3.5772194041130856E-2</v>
      </c>
      <c r="V221" s="24">
        <f t="shared" si="28"/>
        <v>3.4065433992797267E-2</v>
      </c>
      <c r="W221" s="23">
        <f t="shared" si="29"/>
        <v>2.7998962654600668E-3</v>
      </c>
      <c r="X221" s="24">
        <v>3.489367263682519E-2</v>
      </c>
      <c r="Y221" s="24">
        <f t="shared" si="30"/>
        <v>3.3194125002046437E-2</v>
      </c>
      <c r="Z221" s="23">
        <f t="shared" si="31"/>
        <v>2.7295067555814789E-3</v>
      </c>
      <c r="AA221" s="36"/>
    </row>
    <row r="222" spans="4:27" ht="13.9" customHeight="1">
      <c r="D222" s="8"/>
      <c r="E222" s="9"/>
      <c r="F222" s="19"/>
      <c r="G222" s="19"/>
      <c r="H222" s="19"/>
      <c r="J222" s="45"/>
      <c r="K222" s="45"/>
      <c r="L222" s="45"/>
      <c r="M222" s="43"/>
      <c r="O222" s="12">
        <f t="shared" si="25"/>
        <v>17.416666666666668</v>
      </c>
      <c r="P222" s="13">
        <v>209</v>
      </c>
      <c r="Q222" s="22">
        <v>3.1355577079988928E-2</v>
      </c>
      <c r="R222" s="19">
        <f t="shared" si="26"/>
        <v>2.9535012379948489E-2</v>
      </c>
      <c r="S222" s="22">
        <v>3.1382052772489066E-2</v>
      </c>
      <c r="T222" s="19">
        <f t="shared" si="27"/>
        <v>2.9662152576653833E-2</v>
      </c>
      <c r="U222" s="24">
        <v>3.5764021021670089E-2</v>
      </c>
      <c r="V222" s="24">
        <f t="shared" si="28"/>
        <v>3.4010527601796126E-2</v>
      </c>
      <c r="W222" s="23">
        <f t="shared" si="29"/>
        <v>2.7954045835500985E-3</v>
      </c>
      <c r="X222" s="24">
        <v>3.4885534177437227E-2</v>
      </c>
      <c r="Y222" s="24">
        <f t="shared" si="30"/>
        <v>3.3138578989743817E-2</v>
      </c>
      <c r="Z222" s="23">
        <f t="shared" si="31"/>
        <v>2.7249639840851714E-3</v>
      </c>
      <c r="AA222" s="36"/>
    </row>
    <row r="223" spans="4:27" ht="13.9" customHeight="1">
      <c r="D223" s="8"/>
      <c r="E223" s="9"/>
      <c r="F223" s="19"/>
      <c r="G223" s="19"/>
      <c r="H223" s="19"/>
      <c r="J223" s="45"/>
      <c r="K223" s="45"/>
      <c r="L223" s="45"/>
      <c r="M223" s="43"/>
      <c r="O223" s="12">
        <f t="shared" si="25"/>
        <v>17.5</v>
      </c>
      <c r="P223" s="13">
        <v>210</v>
      </c>
      <c r="Q223" s="22">
        <v>3.1346900100118757E-2</v>
      </c>
      <c r="R223" s="19">
        <f t="shared" si="26"/>
        <v>2.9489361757416344E-2</v>
      </c>
      <c r="S223" s="22">
        <v>3.1373855967833597E-2</v>
      </c>
      <c r="T223" s="19">
        <f t="shared" si="27"/>
        <v>2.9604224666959666E-2</v>
      </c>
      <c r="U223" s="24">
        <v>3.5755664010704402E-2</v>
      </c>
      <c r="V223" s="24">
        <f t="shared" si="28"/>
        <v>3.3956289819306651E-2</v>
      </c>
      <c r="W223" s="23">
        <f t="shared" si="29"/>
        <v>2.7909673065997787E-3</v>
      </c>
      <c r="X223" s="24">
        <v>3.487720834741892E-2</v>
      </c>
      <c r="Y223" s="24">
        <f t="shared" si="30"/>
        <v>3.3083650389848396E-2</v>
      </c>
      <c r="Z223" s="23">
        <f t="shared" si="31"/>
        <v>2.7204715445470207E-3</v>
      </c>
      <c r="AA223" s="36"/>
    </row>
    <row r="224" spans="4:27" ht="13.9" customHeight="1">
      <c r="D224" s="8"/>
      <c r="E224" s="9"/>
      <c r="F224" s="19"/>
      <c r="G224" s="19"/>
      <c r="H224" s="19"/>
      <c r="J224" s="45"/>
      <c r="K224" s="45"/>
      <c r="L224" s="45"/>
      <c r="M224" s="43"/>
      <c r="O224" s="12">
        <f t="shared" si="25"/>
        <v>17.583333333333332</v>
      </c>
      <c r="P224" s="13">
        <v>211</v>
      </c>
      <c r="Q224" s="22">
        <v>3.1338088701069466E-2</v>
      </c>
      <c r="R224" s="19">
        <f t="shared" si="26"/>
        <v>2.9444910904001587E-2</v>
      </c>
      <c r="S224" s="22">
        <v>3.1365461920445092E-2</v>
      </c>
      <c r="T224" s="19">
        <f t="shared" si="27"/>
        <v>2.9546692182036205E-2</v>
      </c>
      <c r="U224" s="24">
        <v>3.574712878998576E-2</v>
      </c>
      <c r="V224" s="24">
        <f t="shared" si="28"/>
        <v>3.3902713385337568E-2</v>
      </c>
      <c r="W224" s="23">
        <f t="shared" si="29"/>
        <v>2.7865838513909669E-3</v>
      </c>
      <c r="X224" s="24">
        <v>3.4868700733223568E-2</v>
      </c>
      <c r="Y224" s="24">
        <f t="shared" si="30"/>
        <v>3.3029331564736975E-2</v>
      </c>
      <c r="Z224" s="23">
        <f t="shared" si="31"/>
        <v>2.716028822236094E-3</v>
      </c>
      <c r="AA224" s="36"/>
    </row>
    <row r="225" spans="4:27" ht="13.9" customHeight="1">
      <c r="D225" s="8"/>
      <c r="E225" s="9"/>
      <c r="F225" s="19"/>
      <c r="G225" s="19"/>
      <c r="H225" s="19"/>
      <c r="J225" s="45"/>
      <c r="K225" s="45"/>
      <c r="L225" s="45"/>
      <c r="M225" s="43"/>
      <c r="O225" s="12">
        <f t="shared" si="25"/>
        <v>17.666666666666668</v>
      </c>
      <c r="P225" s="13">
        <v>212</v>
      </c>
      <c r="Q225" s="22">
        <v>3.1329150449546317E-2</v>
      </c>
      <c r="R225" s="19">
        <f t="shared" si="26"/>
        <v>2.940165470170375E-2</v>
      </c>
      <c r="S225" s="22">
        <v>3.1356875280301066E-2</v>
      </c>
      <c r="T225" s="19">
        <f t="shared" si="27"/>
        <v>2.9489546255320631E-2</v>
      </c>
      <c r="U225" s="24">
        <v>3.5738420998354448E-2</v>
      </c>
      <c r="V225" s="24">
        <f t="shared" si="28"/>
        <v>3.3849791092266823E-2</v>
      </c>
      <c r="W225" s="23">
        <f t="shared" si="29"/>
        <v>2.782253638908383E-3</v>
      </c>
      <c r="X225" s="24">
        <v>3.4860016780273728E-2</v>
      </c>
      <c r="Y225" s="24">
        <f t="shared" si="30"/>
        <v>3.2975614930759845E-2</v>
      </c>
      <c r="Z225" s="23">
        <f t="shared" si="31"/>
        <v>2.7116352066427485E-3</v>
      </c>
      <c r="AA225" s="36"/>
    </row>
    <row r="226" spans="4:27" ht="13.9" customHeight="1">
      <c r="D226" s="8"/>
      <c r="E226" s="9"/>
      <c r="F226" s="19"/>
      <c r="G226" s="19"/>
      <c r="H226" s="19"/>
      <c r="J226" s="45"/>
      <c r="K226" s="45"/>
      <c r="L226" s="45"/>
      <c r="M226" s="43"/>
      <c r="O226" s="12">
        <f t="shared" si="25"/>
        <v>17.75</v>
      </c>
      <c r="P226" s="13">
        <v>213</v>
      </c>
      <c r="Q226" s="22">
        <v>3.1320092746667028E-2</v>
      </c>
      <c r="R226" s="19">
        <f t="shared" si="26"/>
        <v>2.9359590864457275E-2</v>
      </c>
      <c r="S226" s="22">
        <v>3.1348100568709514E-2</v>
      </c>
      <c r="T226" s="19">
        <f t="shared" si="27"/>
        <v>2.9432778074293342E-2</v>
      </c>
      <c r="U226" s="24">
        <v>3.5729546135321755E-2</v>
      </c>
      <c r="V226" s="24">
        <f t="shared" si="28"/>
        <v>3.3797515786505361E-2</v>
      </c>
      <c r="W226" s="23">
        <f t="shared" si="29"/>
        <v>2.77797609416508E-3</v>
      </c>
      <c r="X226" s="24">
        <v>3.4851161796507268E-2</v>
      </c>
      <c r="Y226" s="24">
        <f t="shared" si="30"/>
        <v>3.292249295853078E-2</v>
      </c>
      <c r="Z226" s="23">
        <f t="shared" si="31"/>
        <v>2.7072900914246745E-3</v>
      </c>
      <c r="AA226" s="36"/>
    </row>
    <row r="227" spans="4:27" ht="13.9" customHeight="1">
      <c r="D227" s="8"/>
      <c r="E227" s="9"/>
      <c r="F227" s="19"/>
      <c r="G227" s="19"/>
      <c r="H227" s="19"/>
      <c r="J227" s="45"/>
      <c r="K227" s="45"/>
      <c r="L227" s="45"/>
      <c r="M227" s="43"/>
      <c r="O227" s="12">
        <f t="shared" si="25"/>
        <v>17.833333333333332</v>
      </c>
      <c r="P227" s="13">
        <v>214</v>
      </c>
      <c r="Q227" s="22">
        <v>3.131092284505832E-2</v>
      </c>
      <c r="R227" s="19">
        <f t="shared" si="26"/>
        <v>2.9318717152042373E-2</v>
      </c>
      <c r="S227" s="22">
        <v>3.1339142181552981E-2</v>
      </c>
      <c r="T227" s="19">
        <f t="shared" si="27"/>
        <v>2.9376378879305998E-2</v>
      </c>
      <c r="U227" s="24">
        <v>3.5720509564559411E-2</v>
      </c>
      <c r="V227" s="24">
        <f t="shared" si="28"/>
        <v>3.3745880367336722E-2</v>
      </c>
      <c r="W227" s="23">
        <f t="shared" si="29"/>
        <v>2.773750646341222E-3</v>
      </c>
      <c r="X227" s="24">
        <v>3.484214095582594E-2</v>
      </c>
      <c r="Y227" s="24">
        <f t="shared" si="30"/>
        <v>3.2869958172126124E-2</v>
      </c>
      <c r="Z227" s="23">
        <f t="shared" si="31"/>
        <v>2.702992874434873E-3</v>
      </c>
      <c r="AA227" s="36"/>
    </row>
    <row r="228" spans="4:27" ht="13.9" customHeight="1">
      <c r="D228" s="8"/>
      <c r="E228" s="9"/>
      <c r="F228" s="19"/>
      <c r="G228" s="19"/>
      <c r="H228" s="19"/>
      <c r="J228" s="45"/>
      <c r="K228" s="45"/>
      <c r="L228" s="45"/>
      <c r="M228" s="43"/>
      <c r="O228" s="12">
        <f t="shared" si="25"/>
        <v>17.916666666666668</v>
      </c>
      <c r="P228" s="13">
        <v>215</v>
      </c>
      <c r="Q228" s="22">
        <v>3.1301647852495229E-2</v>
      </c>
      <c r="R228" s="19">
        <f t="shared" si="26"/>
        <v>2.9279031370915476E-2</v>
      </c>
      <c r="S228" s="22">
        <v>3.1330004392436939E-2</v>
      </c>
      <c r="T228" s="19">
        <f t="shared" si="27"/>
        <v>2.9320339963429642E-2</v>
      </c>
      <c r="U228" s="24">
        <v>3.5711316517287761E-2</v>
      </c>
      <c r="V228" s="24">
        <f t="shared" si="28"/>
        <v>3.3694877786770938E-2</v>
      </c>
      <c r="W228" s="23">
        <f t="shared" si="29"/>
        <v>2.7695767286948225E-3</v>
      </c>
      <c r="X228" s="24">
        <v>3.4832959301445365E-2</v>
      </c>
      <c r="Y228" s="24">
        <f t="shared" si="30"/>
        <v>3.2818003148896935E-2</v>
      </c>
      <c r="Z228" s="23">
        <f t="shared" si="31"/>
        <v>2.6987429576610378E-3</v>
      </c>
      <c r="AA228" s="36"/>
    </row>
    <row r="229" spans="4:27" ht="13.9" customHeight="1">
      <c r="D229" s="8"/>
      <c r="E229" s="9"/>
      <c r="F229" s="19"/>
      <c r="G229" s="19"/>
      <c r="H229" s="19"/>
      <c r="J229" s="45"/>
      <c r="K229" s="45"/>
      <c r="L229" s="45"/>
      <c r="M229" s="43"/>
      <c r="O229" s="12">
        <f t="shared" si="25"/>
        <v>18</v>
      </c>
      <c r="P229" s="13">
        <v>216</v>
      </c>
      <c r="Q229" s="22">
        <v>3.1292274735443826E-2</v>
      </c>
      <c r="R229" s="19">
        <f t="shared" si="26"/>
        <v>2.9240528624954187E-2</v>
      </c>
      <c r="S229" s="22">
        <v>3.1320691355750885E-2</v>
      </c>
      <c r="T229" s="19">
        <f t="shared" si="27"/>
        <v>2.9264652671851854E-2</v>
      </c>
      <c r="U229" s="24">
        <v>3.5701972095570023E-2</v>
      </c>
      <c r="V229" s="24">
        <f t="shared" si="28"/>
        <v>3.3644501049978626E-2</v>
      </c>
      <c r="W229" s="23">
        <f t="shared" si="29"/>
        <v>2.7654537785535283E-3</v>
      </c>
      <c r="X229" s="24">
        <v>3.4823621749150435E-2</v>
      </c>
      <c r="Y229" s="24">
        <f t="shared" si="30"/>
        <v>3.2766620519874445E-2</v>
      </c>
      <c r="Z229" s="23">
        <f t="shared" si="31"/>
        <v>2.6945397472148969E-3</v>
      </c>
      <c r="AA229" s="36"/>
    </row>
    <row r="230" spans="4:27" ht="13.9" customHeight="1">
      <c r="D230" s="8"/>
      <c r="E230" s="9"/>
      <c r="F230" s="19"/>
      <c r="G230" s="19"/>
      <c r="H230" s="19"/>
      <c r="J230" s="45"/>
      <c r="K230" s="45"/>
      <c r="L230" s="45"/>
      <c r="M230" s="43"/>
      <c r="O230" s="12">
        <f t="shared" si="25"/>
        <v>18.083333333333332</v>
      </c>
      <c r="P230" s="13">
        <v>217</v>
      </c>
      <c r="Q230" s="22">
        <v>3.128281030981217E-2</v>
      </c>
      <c r="R230" s="19">
        <f t="shared" si="26"/>
        <v>2.9203195817489647E-2</v>
      </c>
      <c r="S230" s="22">
        <v>3.131120710964197E-2</v>
      </c>
      <c r="T230" s="19">
        <f t="shared" si="27"/>
        <v>2.9209308401359602E-2</v>
      </c>
      <c r="U230" s="24">
        <v>3.5692481275516386E-2</v>
      </c>
      <c r="V230" s="24">
        <f t="shared" si="28"/>
        <v>3.359474321461664E-2</v>
      </c>
      <c r="W230" s="23">
        <f t="shared" si="29"/>
        <v>2.7613812373543656E-3</v>
      </c>
      <c r="X230" s="24">
        <v>3.4814133090463883E-2</v>
      </c>
      <c r="Y230" s="24">
        <f t="shared" si="30"/>
        <v>3.2715802968686702E-2</v>
      </c>
      <c r="Z230" s="23">
        <f t="shared" si="31"/>
        <v>2.6903826533686281E-3</v>
      </c>
      <c r="AA230" s="36"/>
    </row>
    <row r="231" spans="4:27" ht="13.9" customHeight="1">
      <c r="D231" s="8"/>
      <c r="E231" s="9"/>
      <c r="F231" s="19"/>
      <c r="G231" s="19"/>
      <c r="H231" s="19"/>
      <c r="J231" s="45"/>
      <c r="K231" s="45"/>
      <c r="L231" s="45"/>
      <c r="M231" s="43"/>
      <c r="O231" s="12">
        <f t="shared" si="25"/>
        <v>18.166666666666668</v>
      </c>
      <c r="P231" s="13">
        <v>218</v>
      </c>
      <c r="Q231" s="22">
        <v>3.1273261206683944E-2</v>
      </c>
      <c r="R231" s="19">
        <f t="shared" si="26"/>
        <v>2.9167028148037621E-2</v>
      </c>
      <c r="S231" s="22">
        <v>3.1301555578905571E-2</v>
      </c>
      <c r="T231" s="19">
        <f t="shared" si="27"/>
        <v>2.9154298599244566E-2</v>
      </c>
      <c r="U231" s="24">
        <v>3.5682848910399523E-2</v>
      </c>
      <c r="V231" s="24">
        <f t="shared" si="28"/>
        <v>3.354559739091667E-2</v>
      </c>
      <c r="W231" s="23">
        <f t="shared" si="29"/>
        <v>2.7573585505928921E-3</v>
      </c>
      <c r="X231" s="24">
        <v>3.4804497995723382E-2</v>
      </c>
      <c r="Y231" s="24">
        <f t="shared" si="30"/>
        <v>3.266554323177262E-2</v>
      </c>
      <c r="Z231" s="23">
        <f t="shared" si="31"/>
        <v>2.6862710904713705E-3</v>
      </c>
      <c r="AA231" s="36"/>
    </row>
    <row r="232" spans="4:27" ht="13.9" customHeight="1">
      <c r="D232" s="8"/>
      <c r="E232" s="9"/>
      <c r="F232" s="19"/>
      <c r="G232" s="19"/>
      <c r="H232" s="19"/>
      <c r="J232" s="45"/>
      <c r="K232" s="45"/>
      <c r="L232" s="45"/>
      <c r="M232" s="43"/>
      <c r="O232" s="12">
        <f t="shared" si="25"/>
        <v>18.25</v>
      </c>
      <c r="P232" s="13">
        <v>219</v>
      </c>
      <c r="Q232" s="22">
        <v>3.1263633914467848E-2</v>
      </c>
      <c r="R232" s="19">
        <f t="shared" si="26"/>
        <v>2.9132023615906055E-2</v>
      </c>
      <c r="S232" s="22">
        <v>3.129174057779105E-2</v>
      </c>
      <c r="T232" s="19">
        <f t="shared" si="27"/>
        <v>2.9099614763506754E-2</v>
      </c>
      <c r="U232" s="24">
        <v>3.5673079733683943E-2</v>
      </c>
      <c r="V232" s="24">
        <f t="shared" si="28"/>
        <v>3.3497056741046638E-2</v>
      </c>
      <c r="W232" s="23">
        <f t="shared" si="29"/>
        <v>2.7533851678347432E-3</v>
      </c>
      <c r="X232" s="24">
        <v>3.4794721017075148E-2</v>
      </c>
      <c r="Y232" s="24">
        <f t="shared" si="30"/>
        <v>3.2615834097899032E-2</v>
      </c>
      <c r="Z232" s="23">
        <f t="shared" si="31"/>
        <v>2.6822044769698739E-3</v>
      </c>
      <c r="AA232" s="36"/>
    </row>
    <row r="233" spans="4:27" ht="13.9" customHeight="1">
      <c r="D233" s="8"/>
      <c r="E233" s="9"/>
      <c r="F233" s="19"/>
      <c r="G233" s="19"/>
      <c r="H233" s="19"/>
      <c r="J233" s="45"/>
      <c r="K233" s="45"/>
      <c r="L233" s="45"/>
      <c r="M233" s="43"/>
      <c r="O233" s="12">
        <f t="shared" si="25"/>
        <v>18.333333333333332</v>
      </c>
      <c r="P233" s="13">
        <v>220</v>
      </c>
      <c r="Q233" s="22">
        <v>3.1253934794868599E-2</v>
      </c>
      <c r="R233" s="19">
        <f t="shared" si="26"/>
        <v>2.909818027071287E-2</v>
      </c>
      <c r="S233" s="22">
        <v>3.1281765812733342E-2</v>
      </c>
      <c r="T233" s="19">
        <f t="shared" si="27"/>
        <v>2.9045248441628813E-2</v>
      </c>
      <c r="U233" s="24">
        <v>3.5663178361971415E-2</v>
      </c>
      <c r="V233" s="24">
        <f t="shared" si="28"/>
        <v>3.3449114479685127E-2</v>
      </c>
      <c r="W233" s="23">
        <f t="shared" si="29"/>
        <v>2.7494605426674479E-3</v>
      </c>
      <c r="X233" s="24">
        <v>3.478480659138472E-2</v>
      </c>
      <c r="Y233" s="24">
        <f t="shared" si="30"/>
        <v>3.2566668407883803E-2</v>
      </c>
      <c r="Z233" s="23">
        <f t="shared" si="31"/>
        <v>2.6781822353743046E-3</v>
      </c>
      <c r="AA233" s="36"/>
    </row>
    <row r="234" spans="4:27" ht="13.9" customHeight="1">
      <c r="D234" s="8"/>
      <c r="E234" s="9"/>
      <c r="F234" s="19"/>
      <c r="G234" s="19"/>
      <c r="H234" s="19"/>
      <c r="J234" s="45"/>
      <c r="K234" s="45"/>
      <c r="L234" s="45"/>
      <c r="M234" s="43"/>
      <c r="O234" s="12">
        <f t="shared" si="25"/>
        <v>18.416666666666668</v>
      </c>
      <c r="P234" s="13">
        <v>221</v>
      </c>
      <c r="Q234" s="22">
        <v>3.1244170085958034E-2</v>
      </c>
      <c r="R234" s="19">
        <f t="shared" si="26"/>
        <v>2.9065496215193942E-2</v>
      </c>
      <c r="S234" s="22">
        <v>3.127163488500484E-2</v>
      </c>
      <c r="T234" s="19">
        <f t="shared" si="27"/>
        <v>2.8991191230561375E-2</v>
      </c>
      <c r="U234" s="24">
        <v>3.5653149297869113E-2</v>
      </c>
      <c r="V234" s="24">
        <f t="shared" si="28"/>
        <v>3.3401763873080581E-2</v>
      </c>
      <c r="W234" s="23">
        <f t="shared" si="29"/>
        <v>2.7455841327514996E-3</v>
      </c>
      <c r="X234" s="24">
        <v>3.4774759043067816E-2</v>
      </c>
      <c r="Y234" s="24">
        <f t="shared" si="30"/>
        <v>3.2518039054450831E-2</v>
      </c>
      <c r="Z234" s="23">
        <f t="shared" si="31"/>
        <v>2.6742037922391493E-3</v>
      </c>
      <c r="AA234" s="36"/>
    </row>
    <row r="235" spans="4:27" ht="13.9" customHeight="1">
      <c r="D235" s="8"/>
      <c r="E235" s="9"/>
      <c r="F235" s="19"/>
      <c r="G235" s="19"/>
      <c r="H235" s="19"/>
      <c r="J235" s="45"/>
      <c r="K235" s="45"/>
      <c r="L235" s="45"/>
      <c r="M235" s="43"/>
      <c r="O235" s="12">
        <f t="shared" si="25"/>
        <v>18.5</v>
      </c>
      <c r="P235" s="13">
        <v>222</v>
      </c>
      <c r="Q235" s="22">
        <v>3.123434590517804E-2</v>
      </c>
      <c r="R235" s="19">
        <f t="shared" si="26"/>
        <v>2.9033966892038743E-2</v>
      </c>
      <c r="S235" s="22">
        <v>3.1261351293295769E-2</v>
      </c>
      <c r="T235" s="19">
        <f t="shared" si="27"/>
        <v>2.8937434775607507E-2</v>
      </c>
      <c r="U235" s="24">
        <v>3.5642996932776061E-2</v>
      </c>
      <c r="V235" s="24">
        <f t="shared" si="28"/>
        <v>3.335499823947119E-2</v>
      </c>
      <c r="W235" s="23">
        <f t="shared" si="29"/>
        <v>2.7417553997468591E-3</v>
      </c>
      <c r="X235" s="24">
        <v>3.4764582586844561E-2</v>
      </c>
      <c r="Y235" s="24">
        <f t="shared" si="30"/>
        <v>3.2469938981800617E-2</v>
      </c>
      <c r="Z235" s="23">
        <f t="shared" si="31"/>
        <v>2.6702685781545554E-3</v>
      </c>
      <c r="AA235" s="36"/>
    </row>
    <row r="236" spans="4:27" ht="13.9" customHeight="1">
      <c r="D236" s="8"/>
      <c r="E236" s="9"/>
      <c r="F236" s="19"/>
      <c r="G236" s="19"/>
      <c r="H236" s="19"/>
      <c r="J236" s="45"/>
      <c r="K236" s="45"/>
      <c r="L236" s="45"/>
      <c r="M236" s="43"/>
      <c r="O236" s="12">
        <f t="shared" si="25"/>
        <v>18.583333333333332</v>
      </c>
      <c r="P236" s="13">
        <v>223</v>
      </c>
      <c r="Q236" s="22">
        <v>3.1224468240069081E-2</v>
      </c>
      <c r="R236" s="19">
        <f t="shared" si="26"/>
        <v>2.9003579662937762E-2</v>
      </c>
      <c r="S236" s="22">
        <v>3.125091843622041E-2</v>
      </c>
      <c r="T236" s="19">
        <f t="shared" si="27"/>
        <v>2.8883970770326561E-2</v>
      </c>
      <c r="U236" s="24">
        <v>3.5632725549598065E-2</v>
      </c>
      <c r="V236" s="24">
        <f t="shared" si="28"/>
        <v>3.3308810948164069E-2</v>
      </c>
      <c r="W236" s="23">
        <f t="shared" si="29"/>
        <v>2.7379738093520345E-3</v>
      </c>
      <c r="X236" s="24">
        <v>3.4754281330417802E-2</v>
      </c>
      <c r="Y236" s="24">
        <f t="shared" si="30"/>
        <v>3.2422361185487469E-2</v>
      </c>
      <c r="Z236" s="23">
        <f t="shared" si="31"/>
        <v>2.666376027716133E-3</v>
      </c>
      <c r="AA236" s="36"/>
    </row>
    <row r="237" spans="4:27" ht="13.9" customHeight="1">
      <c r="D237" s="8"/>
      <c r="E237" s="9"/>
      <c r="F237" s="19"/>
      <c r="G237" s="19"/>
      <c r="H237" s="19"/>
      <c r="J237" s="45"/>
      <c r="K237" s="45"/>
      <c r="L237" s="45"/>
      <c r="M237" s="43"/>
      <c r="O237" s="12">
        <f t="shared" si="25"/>
        <v>18.666666666666668</v>
      </c>
      <c r="P237" s="13">
        <v>224</v>
      </c>
      <c r="Q237" s="22">
        <v>3.1214542914994592E-2</v>
      </c>
      <c r="R237" s="19">
        <f t="shared" si="26"/>
        <v>2.8974330077103483E-2</v>
      </c>
      <c r="S237" s="22">
        <v>3.1240339614756918E-2</v>
      </c>
      <c r="T237" s="19">
        <f t="shared" si="27"/>
        <v>2.8830790955536978E-2</v>
      </c>
      <c r="U237" s="24">
        <v>3.5622339325384722E-2</v>
      </c>
      <c r="V237" s="24">
        <f t="shared" si="28"/>
        <v>3.3263195420100145E-2</v>
      </c>
      <c r="W237" s="23">
        <f t="shared" si="29"/>
        <v>2.7342388312319166E-3</v>
      </c>
      <c r="X237" s="24">
        <v>3.4743859277079681E-2</v>
      </c>
      <c r="Y237" s="24">
        <f t="shared" si="30"/>
        <v>3.2375298711813327E-2</v>
      </c>
      <c r="Z237" s="23">
        <f t="shared" si="31"/>
        <v>2.6625255795180713E-3</v>
      </c>
      <c r="AA237" s="36"/>
    </row>
    <row r="238" spans="4:27" ht="13.9" customHeight="1">
      <c r="D238" s="8"/>
      <c r="E238" s="9"/>
      <c r="F238" s="19"/>
      <c r="G238" s="19"/>
      <c r="H238" s="19"/>
      <c r="J238" s="45"/>
      <c r="K238" s="45"/>
      <c r="L238" s="45"/>
      <c r="M238" s="43"/>
      <c r="O238" s="12">
        <f t="shared" si="25"/>
        <v>18.75</v>
      </c>
      <c r="P238" s="13">
        <v>225</v>
      </c>
      <c r="Q238" s="22">
        <v>3.1204575631211373E-2</v>
      </c>
      <c r="R238" s="19">
        <f t="shared" si="26"/>
        <v>2.8946216451661622E-2</v>
      </c>
      <c r="S238" s="22">
        <v>3.1229618034616324E-2</v>
      </c>
      <c r="T238" s="19">
        <f t="shared" si="27"/>
        <v>2.8777887119082912E-2</v>
      </c>
      <c r="U238" s="24">
        <v>3.561184233390069E-2</v>
      </c>
      <c r="V238" s="24">
        <f t="shared" si="28"/>
        <v>3.3218145127066556E-2</v>
      </c>
      <c r="W238" s="23">
        <f t="shared" si="29"/>
        <v>2.730549939067739E-3</v>
      </c>
      <c r="X238" s="24">
        <v>3.473332032824672E-2</v>
      </c>
      <c r="Y238" s="24">
        <f t="shared" si="30"/>
        <v>3.232874465768254E-2</v>
      </c>
      <c r="Z238" s="23">
        <f t="shared" si="31"/>
        <v>2.6587166761073977E-3</v>
      </c>
      <c r="AA238" s="36"/>
    </row>
    <row r="239" spans="4:27" ht="13.9" customHeight="1">
      <c r="D239" s="8"/>
      <c r="E239" s="9"/>
      <c r="F239" s="19"/>
      <c r="G239" s="19"/>
      <c r="H239" s="19"/>
      <c r="J239" s="45"/>
      <c r="K239" s="45"/>
      <c r="L239" s="45"/>
      <c r="M239" s="43"/>
      <c r="O239" s="12">
        <f t="shared" si="25"/>
        <v>18.833333333333332</v>
      </c>
      <c r="P239" s="13">
        <v>226</v>
      </c>
      <c r="Q239" s="22">
        <v>3.1194571981846941E-2</v>
      </c>
      <c r="R239" s="19">
        <f t="shared" si="26"/>
        <v>2.8919237159250155E-2</v>
      </c>
      <c r="S239" s="22">
        <v>3.1218756808550241E-2</v>
      </c>
      <c r="T239" s="19">
        <f t="shared" si="27"/>
        <v>2.8725251094981585E-2</v>
      </c>
      <c r="U239" s="24">
        <v>3.5601238548124359E-2</v>
      </c>
      <c r="V239" s="24">
        <f t="shared" si="28"/>
        <v>3.3173653591550778E-2</v>
      </c>
      <c r="W239" s="23">
        <f t="shared" si="29"/>
        <v>2.7269066104973483E-3</v>
      </c>
      <c r="X239" s="24">
        <v>3.4722668285927183E-2</v>
      </c>
      <c r="Y239" s="24">
        <f t="shared" si="30"/>
        <v>3.2282692170491956E-2</v>
      </c>
      <c r="Z239" s="23">
        <f t="shared" si="31"/>
        <v>2.6549487639762059E-3</v>
      </c>
      <c r="AA239" s="36"/>
    </row>
    <row r="240" spans="4:27" ht="13.9" customHeight="1">
      <c r="D240" s="8"/>
      <c r="E240" s="9"/>
      <c r="F240" s="19"/>
      <c r="G240" s="19"/>
      <c r="H240" s="19"/>
      <c r="J240" s="45"/>
      <c r="K240" s="45"/>
      <c r="L240" s="45"/>
      <c r="M240" s="43"/>
      <c r="O240" s="12">
        <f t="shared" si="25"/>
        <v>18.916666666666668</v>
      </c>
      <c r="P240" s="13">
        <v>227</v>
      </c>
      <c r="Q240" s="22">
        <v>3.1184537454507666E-2</v>
      </c>
      <c r="R240" s="19">
        <f t="shared" si="26"/>
        <v>2.8893390630630567E-2</v>
      </c>
      <c r="S240" s="22">
        <v>3.1207758958591958E-2</v>
      </c>
      <c r="T240" s="19">
        <f t="shared" si="27"/>
        <v>2.8672874762988299E-2</v>
      </c>
      <c r="U240" s="24">
        <v>3.5590531842680573E-2</v>
      </c>
      <c r="V240" s="24">
        <f t="shared" si="28"/>
        <v>3.3129714386635811E-2</v>
      </c>
      <c r="W240" s="23">
        <f t="shared" si="29"/>
        <v>2.7233083271058778E-3</v>
      </c>
      <c r="X240" s="24">
        <v>3.4711906855122709E-2</v>
      </c>
      <c r="Y240" s="24">
        <f t="shared" si="30"/>
        <v>3.2237134447211879E-2</v>
      </c>
      <c r="Z240" s="23">
        <f t="shared" si="31"/>
        <v>2.6512212935558832E-3</v>
      </c>
      <c r="AA240" s="36"/>
    </row>
    <row r="241" spans="4:27" ht="13.9" customHeight="1">
      <c r="D241" s="8"/>
      <c r="E241" s="9"/>
      <c r="F241" s="19"/>
      <c r="G241" s="19"/>
      <c r="H241" s="19"/>
      <c r="J241" s="45"/>
      <c r="K241" s="45"/>
      <c r="L241" s="45"/>
      <c r="M241" s="43"/>
      <c r="O241" s="12">
        <f t="shared" si="25"/>
        <v>19</v>
      </c>
      <c r="P241" s="13">
        <v>228</v>
      </c>
      <c r="Q241" s="22">
        <v>3.1174477433828951E-2</v>
      </c>
      <c r="R241" s="19">
        <f t="shared" si="26"/>
        <v>2.8868672679292384E-2</v>
      </c>
      <c r="S241" s="22">
        <v>3.119662741823781E-2</v>
      </c>
      <c r="T241" s="19">
        <f t="shared" si="27"/>
        <v>2.8620750047924304E-2</v>
      </c>
      <c r="U241" s="24">
        <v>3.5579725996209621E-2</v>
      </c>
      <c r="V241" s="24">
        <f t="shared" si="28"/>
        <v>3.3086321136056585E-2</v>
      </c>
      <c r="W241" s="23">
        <f t="shared" si="29"/>
        <v>2.7197545744210849E-3</v>
      </c>
      <c r="X241" s="24">
        <v>3.4701039646163778E-2</v>
      </c>
      <c r="Y241" s="24">
        <f t="shared" si="30"/>
        <v>3.2192064734891224E-2</v>
      </c>
      <c r="Z241" s="23">
        <f t="shared" si="31"/>
        <v>2.6475337191453896E-3</v>
      </c>
      <c r="AA241" s="36"/>
    </row>
    <row r="242" spans="4:27" ht="13.9" customHeight="1">
      <c r="D242" s="8"/>
      <c r="E242" s="9"/>
      <c r="F242" s="19"/>
      <c r="G242" s="19"/>
      <c r="H242" s="19"/>
      <c r="J242" s="45"/>
      <c r="K242" s="45"/>
      <c r="L242" s="45"/>
      <c r="M242" s="43"/>
      <c r="O242" s="12">
        <f t="shared" si="25"/>
        <v>19.083333333333332</v>
      </c>
      <c r="P242" s="13">
        <v>229</v>
      </c>
      <c r="Q242" s="22">
        <v>3.1164397192251503E-2</v>
      </c>
      <c r="R242" s="19">
        <f t="shared" si="26"/>
        <v>2.8845071153198232E-2</v>
      </c>
      <c r="S242" s="22">
        <v>3.1185365034569479E-2</v>
      </c>
      <c r="T242" s="19">
        <f t="shared" si="27"/>
        <v>2.8568868919333745E-2</v>
      </c>
      <c r="U242" s="24">
        <v>3.5568824693674284E-2</v>
      </c>
      <c r="V242" s="24">
        <f t="shared" si="28"/>
        <v>3.3043467513088176E-2</v>
      </c>
      <c r="W242" s="23">
        <f t="shared" si="29"/>
        <v>2.7162448419213447E-3</v>
      </c>
      <c r="X242" s="24">
        <v>3.469007017698611E-2</v>
      </c>
      <c r="Y242" s="24">
        <f t="shared" si="30"/>
        <v>3.2147476329609681E-2</v>
      </c>
      <c r="Z242" s="23">
        <f t="shared" si="31"/>
        <v>2.6438854989565552E-3</v>
      </c>
      <c r="AA242" s="36"/>
    </row>
    <row r="243" spans="4:27" ht="13.9" customHeight="1">
      <c r="D243" s="8"/>
      <c r="E243" s="9"/>
      <c r="F243" s="19"/>
      <c r="G243" s="19"/>
      <c r="H243" s="19"/>
      <c r="J243" s="45"/>
      <c r="K243" s="45"/>
      <c r="L243" s="45"/>
      <c r="M243" s="43"/>
      <c r="O243" s="12">
        <f t="shared" si="25"/>
        <v>19.166666666666668</v>
      </c>
      <c r="P243" s="13">
        <v>230</v>
      </c>
      <c r="Q243" s="22">
        <v>3.1154301857731159E-2</v>
      </c>
      <c r="R243" s="19">
        <f t="shared" si="26"/>
        <v>2.8822581982826501E-2</v>
      </c>
      <c r="S243" s="22">
        <v>3.1173974570318119E-2</v>
      </c>
      <c r="T243" s="19">
        <f t="shared" si="27"/>
        <v>2.8517223390679192E-2</v>
      </c>
      <c r="U243" s="24">
        <v>3.5557831528602479E-2</v>
      </c>
      <c r="V243" s="24">
        <f t="shared" si="28"/>
        <v>3.3001147241205064E-2</v>
      </c>
      <c r="W243" s="23">
        <f t="shared" si="29"/>
        <v>2.7127786229490525E-3</v>
      </c>
      <c r="X243" s="24">
        <v>3.4679001875343118E-2</v>
      </c>
      <c r="Y243" s="24">
        <f t="shared" si="30"/>
        <v>3.2103362576366257E-2</v>
      </c>
      <c r="Z243" s="23">
        <f t="shared" si="31"/>
        <v>2.6402760950310356E-3</v>
      </c>
      <c r="AA243" s="36"/>
    </row>
    <row r="244" spans="4:27" ht="13.9" customHeight="1">
      <c r="D244" s="8"/>
      <c r="E244" s="9"/>
      <c r="F244" s="19"/>
      <c r="G244" s="19"/>
      <c r="H244" s="19"/>
      <c r="J244" s="45"/>
      <c r="K244" s="45"/>
      <c r="L244" s="45"/>
      <c r="M244" s="43"/>
      <c r="O244" s="12">
        <f t="shared" si="25"/>
        <v>19.25</v>
      </c>
      <c r="P244" s="13">
        <v>231</v>
      </c>
      <c r="Q244" s="22">
        <v>3.1144196451915684E-2</v>
      </c>
      <c r="R244" s="19">
        <f t="shared" si="26"/>
        <v>2.8801203833210165E-2</v>
      </c>
      <c r="S244" s="22">
        <v>3.1162458705872975E-2</v>
      </c>
      <c r="T244" s="19">
        <f t="shared" si="27"/>
        <v>2.8465805518330001E-2</v>
      </c>
      <c r="U244" s="24">
        <v>3.5546750005274852E-2</v>
      </c>
      <c r="V244" s="24">
        <f t="shared" si="28"/>
        <v>3.2959354093260229E-2</v>
      </c>
      <c r="W244" s="23">
        <f t="shared" si="29"/>
        <v>2.7093554147665788E-3</v>
      </c>
      <c r="X244" s="24">
        <v>3.4667838080961744E-2</v>
      </c>
      <c r="Y244" s="24">
        <f t="shared" si="30"/>
        <v>3.2059716868999555E-2</v>
      </c>
      <c r="Z244" s="23">
        <f t="shared" si="31"/>
        <v>2.6367049732356485E-3</v>
      </c>
      <c r="AA244" s="36"/>
    </row>
    <row r="245" spans="4:27" ht="13.9" customHeight="1">
      <c r="D245" s="8"/>
      <c r="E245" s="9"/>
      <c r="F245" s="19"/>
      <c r="G245" s="19"/>
      <c r="H245" s="19"/>
      <c r="J245" s="45"/>
      <c r="K245" s="45"/>
      <c r="L245" s="45"/>
      <c r="M245" s="43"/>
      <c r="O245" s="12">
        <f t="shared" si="25"/>
        <v>19.333333333333332</v>
      </c>
      <c r="P245" s="13">
        <v>232</v>
      </c>
      <c r="Q245" s="22">
        <v>3.1134085904232833E-2</v>
      </c>
      <c r="R245" s="19">
        <f t="shared" si="26"/>
        <v>2.8780935430487986E-2</v>
      </c>
      <c r="S245" s="22">
        <v>3.1150820041233596E-2</v>
      </c>
      <c r="T245" s="19">
        <f t="shared" si="27"/>
        <v>2.8414607402377889E-2</v>
      </c>
      <c r="U245" s="24">
        <v>3.55355835408524E-2</v>
      </c>
      <c r="V245" s="24">
        <f t="shared" si="28"/>
        <v>3.2918081891547102E-2</v>
      </c>
      <c r="W245" s="23">
        <f t="shared" si="29"/>
        <v>2.7059747184938754E-3</v>
      </c>
      <c r="X245" s="24">
        <v>3.465658204764166E-2</v>
      </c>
      <c r="Y245" s="24">
        <f t="shared" si="30"/>
        <v>3.2016532649548513E-2</v>
      </c>
      <c r="Z245" s="23">
        <f t="shared" si="31"/>
        <v>2.6331716032583774E-3</v>
      </c>
      <c r="AA245" s="36"/>
    </row>
    <row r="246" spans="4:27" ht="13.9" customHeight="1">
      <c r="D246" s="8"/>
      <c r="E246" s="9"/>
      <c r="F246" s="19"/>
      <c r="G246" s="19"/>
      <c r="H246" s="19"/>
      <c r="J246" s="45"/>
      <c r="K246" s="45"/>
      <c r="L246" s="45"/>
      <c r="M246" s="43"/>
      <c r="O246" s="12">
        <f t="shared" si="25"/>
        <v>19.416666666666668</v>
      </c>
      <c r="P246" s="13">
        <v>233</v>
      </c>
      <c r="Q246" s="22">
        <v>3.1123975054115904E-2</v>
      </c>
      <c r="R246" s="19">
        <f t="shared" si="26"/>
        <v>2.8761775562376357E-2</v>
      </c>
      <c r="S246" s="22">
        <v>3.1139061097914755E-2</v>
      </c>
      <c r="T246" s="19">
        <f t="shared" si="27"/>
        <v>2.8363621184091858E-2</v>
      </c>
      <c r="U246" s="24">
        <v>3.552433546744993E-2</v>
      </c>
      <c r="V246" s="24">
        <f t="shared" si="28"/>
        <v>3.2877324506984884E-2</v>
      </c>
      <c r="W246" s="23">
        <f t="shared" si="29"/>
        <v>2.7026360391162463E-3</v>
      </c>
      <c r="X246" s="24">
        <v>3.4645236945298086E-2</v>
      </c>
      <c r="Y246" s="24">
        <f t="shared" si="30"/>
        <v>3.1973803407886692E-2</v>
      </c>
      <c r="Z246" s="23">
        <f t="shared" si="31"/>
        <v>2.6296754585595217E-3</v>
      </c>
      <c r="AA246" s="36"/>
    </row>
    <row r="247" spans="4:27" ht="13.9" customHeight="1">
      <c r="D247" s="8"/>
      <c r="E247" s="9"/>
      <c r="F247" s="19"/>
      <c r="G247" s="19"/>
      <c r="H247" s="19"/>
      <c r="J247" s="45"/>
      <c r="K247" s="45"/>
      <c r="L247" s="45"/>
      <c r="M247" s="43"/>
      <c r="O247" s="12">
        <f t="shared" si="25"/>
        <v>19.5</v>
      </c>
      <c r="P247" s="13">
        <v>234</v>
      </c>
      <c r="Q247" s="22">
        <v>3.111386865317467E-2</v>
      </c>
      <c r="R247" s="19">
        <f t="shared" si="26"/>
        <v>2.8743720442123921E-2</v>
      </c>
      <c r="S247" s="22">
        <v>3.1127184320792978E-2</v>
      </c>
      <c r="T247" s="19">
        <f t="shared" si="27"/>
        <v>2.8312839046972016E-2</v>
      </c>
      <c r="U247" s="24">
        <v>3.5513009034153553E-2</v>
      </c>
      <c r="V247" s="24">
        <f t="shared" si="28"/>
        <v>3.283707586011908E-2</v>
      </c>
      <c r="W247" s="23">
        <f t="shared" si="29"/>
        <v>2.6993388854203992E-3</v>
      </c>
      <c r="X247" s="24">
        <v>3.4633805861951306E-2</v>
      </c>
      <c r="Y247" s="24">
        <f t="shared" si="30"/>
        <v>3.1931522681567515E-2</v>
      </c>
      <c r="Z247" s="23">
        <f t="shared" si="31"/>
        <v>2.6262160163446069E-3</v>
      </c>
      <c r="AA247" s="36"/>
    </row>
    <row r="248" spans="4:27" ht="13.9" customHeight="1">
      <c r="D248" s="8"/>
      <c r="E248" s="9"/>
      <c r="F248" s="19"/>
      <c r="G248" s="19"/>
      <c r="H248" s="19"/>
      <c r="J248" s="45"/>
      <c r="K248" s="45"/>
      <c r="L248" s="45"/>
      <c r="M248" s="43"/>
      <c r="O248" s="12">
        <f t="shared" si="25"/>
        <v>19.583333333333332</v>
      </c>
      <c r="P248" s="13">
        <v>235</v>
      </c>
      <c r="Q248" s="22">
        <v>3.1103771356068455E-2</v>
      </c>
      <c r="R248" s="19">
        <f t="shared" si="26"/>
        <v>2.872675843217376E-2</v>
      </c>
      <c r="S248" s="22">
        <v>3.1115192079910203E-2</v>
      </c>
      <c r="T248" s="19">
        <f t="shared" si="27"/>
        <v>2.8262253215526556E-2</v>
      </c>
      <c r="U248" s="24">
        <v>3.5501607408990221E-2</v>
      </c>
      <c r="V248" s="24">
        <f t="shared" si="28"/>
        <v>3.2797329918914597E-2</v>
      </c>
      <c r="W248" s="23">
        <f t="shared" si="29"/>
        <v>2.6960827700805989E-3</v>
      </c>
      <c r="X248" s="24">
        <v>3.4622291805664451E-2</v>
      </c>
      <c r="Y248" s="24">
        <f t="shared" si="30"/>
        <v>3.1889684055346867E-2</v>
      </c>
      <c r="Z248" s="23">
        <f t="shared" si="31"/>
        <v>2.6227927575561694E-3</v>
      </c>
      <c r="AA248" s="36"/>
    </row>
    <row r="249" spans="4:27" ht="13.9" customHeight="1">
      <c r="D249" s="8"/>
      <c r="E249" s="9"/>
      <c r="F249" s="19"/>
      <c r="G249" s="19"/>
      <c r="H249" s="19"/>
      <c r="J249" s="45"/>
      <c r="K249" s="45"/>
      <c r="L249" s="45"/>
      <c r="M249" s="43"/>
      <c r="O249" s="12">
        <f t="shared" si="25"/>
        <v>19.666666666666668</v>
      </c>
      <c r="P249" s="13">
        <v>236</v>
      </c>
      <c r="Q249" s="22">
        <v>3.1093687689202287E-2</v>
      </c>
      <c r="R249" s="19">
        <f t="shared" si="26"/>
        <v>2.8710885871632064E-2</v>
      </c>
      <c r="S249" s="22">
        <v>3.1103086672226166E-2</v>
      </c>
      <c r="T249" s="19">
        <f t="shared" si="27"/>
        <v>2.8211855954472398E-2</v>
      </c>
      <c r="U249" s="24">
        <v>3.5490133680839531E-2</v>
      </c>
      <c r="V249" s="24">
        <f t="shared" si="28"/>
        <v>3.2758080700291181E-2</v>
      </c>
      <c r="W249" s="23">
        <f t="shared" si="29"/>
        <v>2.6928672094808093E-3</v>
      </c>
      <c r="X249" s="24">
        <v>3.4610697706431104E-2</v>
      </c>
      <c r="Y249" s="24">
        <f t="shared" si="30"/>
        <v>3.1848281160822944E-2</v>
      </c>
      <c r="Z249" s="23">
        <f t="shared" si="31"/>
        <v>2.6194051668362306E-3</v>
      </c>
      <c r="AA249" s="36"/>
    </row>
    <row r="250" spans="4:27" ht="13.9" customHeight="1">
      <c r="D250" s="8"/>
      <c r="E250" s="9"/>
      <c r="F250" s="19"/>
      <c r="G250" s="19"/>
      <c r="H250" s="19"/>
      <c r="J250" s="45"/>
      <c r="K250" s="45"/>
      <c r="L250" s="45"/>
      <c r="M250" s="43"/>
      <c r="O250" s="12">
        <f t="shared" si="25"/>
        <v>19.75</v>
      </c>
      <c r="P250" s="13">
        <v>237</v>
      </c>
      <c r="Q250" s="22">
        <v>3.1083622087152429E-2</v>
      </c>
      <c r="R250" s="19">
        <f t="shared" si="26"/>
        <v>2.8696101802489382E-2</v>
      </c>
      <c r="S250" s="22">
        <v>3.1090870323323694E-2</v>
      </c>
      <c r="T250" s="19">
        <f t="shared" si="27"/>
        <v>2.8161639568540453E-2</v>
      </c>
      <c r="U250" s="24">
        <v>3.5478590861302672E-2</v>
      </c>
      <c r="V250" s="24">
        <f t="shared" si="28"/>
        <v>3.271932226881491E-2</v>
      </c>
      <c r="W250" s="23">
        <f t="shared" si="29"/>
        <v>2.6896917238428131E-3</v>
      </c>
      <c r="X250" s="24">
        <v>3.4599026418012713E-2</v>
      </c>
      <c r="Y250" s="24">
        <f t="shared" si="30"/>
        <v>3.1807307676144259E-2</v>
      </c>
      <c r="Z250" s="23">
        <f t="shared" si="31"/>
        <v>2.6160527325007621E-3</v>
      </c>
      <c r="AA250" s="36"/>
    </row>
    <row r="251" spans="4:27" ht="13.9" customHeight="1">
      <c r="D251" s="8"/>
      <c r="E251" s="9"/>
      <c r="F251" s="19"/>
      <c r="G251" s="19"/>
      <c r="H251" s="19"/>
      <c r="J251" s="45"/>
      <c r="K251" s="45"/>
      <c r="L251" s="45"/>
      <c r="M251" s="43"/>
      <c r="O251" s="12">
        <f t="shared" si="25"/>
        <v>19.833333333333332</v>
      </c>
      <c r="P251" s="13">
        <v>238</v>
      </c>
      <c r="Q251" s="22">
        <v>3.1073578905963295E-2</v>
      </c>
      <c r="R251" s="19">
        <f t="shared" si="26"/>
        <v>2.8682405331483807E-2</v>
      </c>
      <c r="S251" s="22">
        <v>3.1078545189070494E-2</v>
      </c>
      <c r="T251" s="19">
        <f t="shared" si="27"/>
        <v>2.811159640191252E-2</v>
      </c>
      <c r="U251" s="24">
        <v>3.5466981886519644E-2</v>
      </c>
      <c r="V251" s="24">
        <f t="shared" si="28"/>
        <v>3.2681048736786344E-2</v>
      </c>
      <c r="W251" s="23">
        <f t="shared" si="29"/>
        <v>2.6865558371234055E-3</v>
      </c>
      <c r="X251" s="24">
        <v>3.4587280719730051E-2</v>
      </c>
      <c r="Y251" s="24">
        <f t="shared" si="30"/>
        <v>3.1766757325542683E-2</v>
      </c>
      <c r="Z251" s="23">
        <f t="shared" si="31"/>
        <v>2.6127349465183691E-3</v>
      </c>
      <c r="AA251" s="36"/>
    </row>
    <row r="252" spans="4:27" ht="13.9" customHeight="1">
      <c r="D252" s="8"/>
      <c r="E252" s="9"/>
      <c r="F252" s="19"/>
      <c r="G252" s="19"/>
      <c r="H252" s="19"/>
      <c r="J252" s="45"/>
      <c r="K252" s="45"/>
      <c r="L252" s="45"/>
      <c r="M252" s="43"/>
      <c r="O252" s="12">
        <f t="shared" si="25"/>
        <v>19.916666666666668</v>
      </c>
      <c r="P252" s="13">
        <v>239</v>
      </c>
      <c r="Q252" s="22">
        <v>3.1063562425049263E-2</v>
      </c>
      <c r="R252" s="19">
        <f t="shared" si="26"/>
        <v>2.8669795632663808E-2</v>
      </c>
      <c r="S252" s="22">
        <v>3.1066113357236746E-2</v>
      </c>
      <c r="T252" s="19">
        <f t="shared" si="27"/>
        <v>2.806171883706865E-2</v>
      </c>
      <c r="U252" s="24">
        <v>3.5455309618941167E-2</v>
      </c>
      <c r="V252" s="24">
        <f t="shared" si="28"/>
        <v>3.2643254263688304E-2</v>
      </c>
      <c r="W252" s="23">
        <f t="shared" si="29"/>
        <v>2.6834590770239419E-3</v>
      </c>
      <c r="X252" s="24">
        <v>3.457546331820649E-2</v>
      </c>
      <c r="Y252" s="24">
        <f t="shared" si="30"/>
        <v>3.1726623879194671E-2</v>
      </c>
      <c r="Z252" s="23">
        <f t="shared" si="31"/>
        <v>2.6094513044756518E-3</v>
      </c>
      <c r="AA252" s="36"/>
    </row>
    <row r="253" spans="4:27" ht="13.9" customHeight="1">
      <c r="D253" s="8"/>
      <c r="E253" s="9"/>
      <c r="F253" s="19"/>
      <c r="G253" s="19"/>
      <c r="H253" s="19"/>
      <c r="J253" s="45"/>
      <c r="K253" s="45"/>
      <c r="L253" s="45"/>
      <c r="M253" s="43"/>
      <c r="O253" s="12">
        <f t="shared" si="25"/>
        <v>20</v>
      </c>
      <c r="P253" s="13">
        <v>240</v>
      </c>
      <c r="Q253" s="22">
        <v>3.1053576849058295E-2</v>
      </c>
      <c r="R253" s="19">
        <f t="shared" si="26"/>
        <v>2.8658048392981472E-2</v>
      </c>
      <c r="S253" s="22">
        <v>3.1053576849067621E-2</v>
      </c>
      <c r="T253" s="19">
        <f t="shared" si="27"/>
        <v>2.8012990449882924E-2</v>
      </c>
      <c r="U253" s="24">
        <v>3.5443576849054415E-2</v>
      </c>
      <c r="V253" s="24">
        <f t="shared" si="28"/>
        <v>3.2606522896814427E-2</v>
      </c>
      <c r="W253" s="23">
        <f t="shared" si="29"/>
        <v>2.6804009749477054E-3</v>
      </c>
      <c r="X253" s="24">
        <v>3.4563576849068633E-2</v>
      </c>
      <c r="Y253" s="24">
        <f t="shared" si="30"/>
        <v>3.1687567958845975E-2</v>
      </c>
      <c r="Z253" s="23">
        <f t="shared" si="31"/>
        <v>2.606201305567879E-3</v>
      </c>
      <c r="AA253" s="36"/>
    </row>
    <row r="254" spans="4:27" ht="13.9" customHeight="1">
      <c r="D254" s="8"/>
      <c r="E254" s="9"/>
      <c r="F254" s="19"/>
      <c r="G254" s="19"/>
      <c r="H254" s="19"/>
      <c r="J254" s="45"/>
      <c r="K254" s="45"/>
      <c r="L254" s="45"/>
      <c r="M254" s="43"/>
      <c r="O254" s="12">
        <f t="shared" si="25"/>
        <v>20.083333333333332</v>
      </c>
      <c r="P254" s="13">
        <v>241</v>
      </c>
      <c r="Q254" s="22">
        <v>3.1043625379927331E-2</v>
      </c>
      <c r="R254" s="19">
        <f t="shared" si="26"/>
        <v>2.8646268663678587E-2</v>
      </c>
      <c r="S254" s="22">
        <v>3.104094174560923E-2</v>
      </c>
      <c r="T254" s="19">
        <f t="shared" si="27"/>
        <v>2.7969358553934454E-2</v>
      </c>
      <c r="U254" s="24">
        <v>3.5431788751234539E-2</v>
      </c>
      <c r="V254" s="24">
        <f t="shared" si="28"/>
        <v>3.2573204232507313E-2</v>
      </c>
      <c r="W254" s="23">
        <f t="shared" si="29"/>
        <v>2.6774287947388675E-3</v>
      </c>
      <c r="X254" s="24">
        <v>3.4551626653114509E-2</v>
      </c>
      <c r="Y254" s="24">
        <f t="shared" si="30"/>
        <v>3.165224570443792E-2</v>
      </c>
      <c r="Z254" s="23">
        <f t="shared" si="31"/>
        <v>2.6030384532480522E-3</v>
      </c>
      <c r="AA254" s="36"/>
    </row>
    <row r="255" spans="4:27" ht="13.9" customHeight="1">
      <c r="D255" s="8"/>
      <c r="E255" s="9"/>
      <c r="F255" s="19"/>
      <c r="G255" s="19"/>
      <c r="H255" s="19"/>
      <c r="J255" s="45"/>
      <c r="K255" s="45"/>
      <c r="L255" s="45"/>
      <c r="M255" s="43"/>
      <c r="O255" s="12">
        <f t="shared" si="25"/>
        <v>20.166666666666668</v>
      </c>
      <c r="P255" s="13">
        <v>242</v>
      </c>
      <c r="Q255" s="22">
        <v>3.1033707459939386E-2</v>
      </c>
      <c r="R255" s="19">
        <f t="shared" si="26"/>
        <v>2.8634232098778245E-2</v>
      </c>
      <c r="S255" s="22">
        <v>3.1028230387647904E-2</v>
      </c>
      <c r="T255" s="19">
        <f t="shared" si="27"/>
        <v>2.7931780361828418E-2</v>
      </c>
      <c r="U255" s="24">
        <v>3.5419960150463004E-2</v>
      </c>
      <c r="V255" s="24">
        <f t="shared" si="28"/>
        <v>3.254387155843097E-2</v>
      </c>
      <c r="W255" s="23">
        <f t="shared" si="29"/>
        <v>2.6747326752594169E-3</v>
      </c>
      <c r="X255" s="24">
        <v>3.4539628989695093E-2</v>
      </c>
      <c r="Y255" s="24">
        <f t="shared" si="30"/>
        <v>3.162130445861111E-2</v>
      </c>
      <c r="Z255" s="23">
        <f t="shared" si="31"/>
        <v>2.6001778686075561E-3</v>
      </c>
      <c r="AA255" s="36"/>
    </row>
    <row r="256" spans="4:27" ht="13.9" customHeight="1">
      <c r="D256" s="8"/>
      <c r="E256" s="9"/>
      <c r="F256" s="19"/>
      <c r="G256" s="19"/>
      <c r="H256" s="19"/>
      <c r="J256" s="45"/>
      <c r="K256" s="45"/>
      <c r="L256" s="45"/>
      <c r="M256" s="43"/>
      <c r="O256" s="12">
        <f t="shared" si="25"/>
        <v>20.25</v>
      </c>
      <c r="P256" s="13">
        <v>243</v>
      </c>
      <c r="Q256" s="22">
        <v>3.1023821615182801E-2</v>
      </c>
      <c r="R256" s="19">
        <f t="shared" si="26"/>
        <v>2.8621937880767057E-2</v>
      </c>
      <c r="S256" s="22">
        <v>3.1015468700846593E-2</v>
      </c>
      <c r="T256" s="19">
        <f t="shared" si="27"/>
        <v>2.7900220217485616E-2</v>
      </c>
      <c r="U256" s="24">
        <v>3.5408107994167493E-2</v>
      </c>
      <c r="V256" s="24">
        <f t="shared" si="28"/>
        <v>3.2518507701529309E-2</v>
      </c>
      <c r="W256" s="23">
        <f t="shared" si="29"/>
        <v>2.6723590328905367E-3</v>
      </c>
      <c r="X256" s="24">
        <v>3.4527602522860912E-2</v>
      </c>
      <c r="Y256" s="24">
        <f t="shared" si="30"/>
        <v>3.1594723965216565E-2</v>
      </c>
      <c r="Z256" s="23">
        <f t="shared" si="31"/>
        <v>2.5976720076499316E-3</v>
      </c>
      <c r="AA256" s="36"/>
    </row>
    <row r="257" spans="4:27" ht="13.9" customHeight="1">
      <c r="D257" s="8"/>
      <c r="E257" s="9"/>
      <c r="F257" s="19"/>
      <c r="G257" s="19"/>
      <c r="H257" s="19"/>
      <c r="J257" s="45"/>
      <c r="K257" s="45"/>
      <c r="L257" s="45"/>
      <c r="M257" s="43"/>
      <c r="O257" s="12">
        <f t="shared" si="25"/>
        <v>20.333333333333332</v>
      </c>
      <c r="P257" s="13">
        <v>244</v>
      </c>
      <c r="Q257" s="22">
        <v>3.101396639255638E-2</v>
      </c>
      <c r="R257" s="19">
        <f t="shared" si="26"/>
        <v>2.8609385177921887E-2</v>
      </c>
      <c r="S257" s="22">
        <v>3.1002682040792262E-2</v>
      </c>
      <c r="T257" s="19">
        <f t="shared" si="27"/>
        <v>2.7874643212247641E-2</v>
      </c>
      <c r="U257" s="24">
        <v>3.5396248882020087E-2</v>
      </c>
      <c r="V257" s="24">
        <f t="shared" si="28"/>
        <v>3.2497095884524985E-2</v>
      </c>
      <c r="W257" s="23">
        <f t="shared" si="29"/>
        <v>2.6703065031088435E-3</v>
      </c>
      <c r="X257" s="24">
        <v>3.4515565528228764E-2</v>
      </c>
      <c r="Y257" s="24">
        <f t="shared" si="30"/>
        <v>3.157248442393068E-2</v>
      </c>
      <c r="Z257" s="23">
        <f t="shared" si="31"/>
        <v>2.5955192590749743E-3</v>
      </c>
      <c r="AA257" s="36"/>
    </row>
    <row r="258" spans="4:27" ht="13.9" customHeight="1">
      <c r="D258" s="8"/>
      <c r="E258" s="9"/>
      <c r="F258" s="19"/>
      <c r="G258" s="19"/>
      <c r="H258" s="19"/>
      <c r="J258" s="45"/>
      <c r="K258" s="45"/>
      <c r="L258" s="45"/>
      <c r="M258" s="43"/>
      <c r="O258" s="12">
        <f t="shared" si="25"/>
        <v>20.416666666666668</v>
      </c>
      <c r="P258" s="13">
        <v>245</v>
      </c>
      <c r="Q258" s="22">
        <v>3.1004140359285781E-2</v>
      </c>
      <c r="R258" s="19">
        <f t="shared" si="26"/>
        <v>2.85965731418516E-2</v>
      </c>
      <c r="S258" s="22">
        <v>3.0989895207237828E-2</v>
      </c>
      <c r="T258" s="19">
        <f t="shared" si="27"/>
        <v>2.7855015206752709E-2</v>
      </c>
      <c r="U258" s="24">
        <v>3.5384399074461115E-2</v>
      </c>
      <c r="V258" s="24">
        <f t="shared" si="28"/>
        <v>3.2479619735134913E-2</v>
      </c>
      <c r="W258" s="23">
        <f t="shared" si="29"/>
        <v>2.668573749893044E-3</v>
      </c>
      <c r="X258" s="24">
        <v>3.4503535902540738E-2</v>
      </c>
      <c r="Y258" s="24">
        <f t="shared" si="30"/>
        <v>3.1554566503143366E-2</v>
      </c>
      <c r="Z258" s="23">
        <f t="shared" si="31"/>
        <v>2.5937180442305863E-3</v>
      </c>
      <c r="AA258" s="36"/>
    </row>
    <row r="259" spans="4:27" ht="13.9" customHeight="1">
      <c r="D259" s="8"/>
      <c r="E259" s="9"/>
      <c r="F259" s="19"/>
      <c r="G259" s="19"/>
      <c r="H259" s="19"/>
      <c r="J259" s="45"/>
      <c r="K259" s="45"/>
      <c r="L259" s="45"/>
      <c r="M259" s="43"/>
      <c r="O259" s="12">
        <f t="shared" si="25"/>
        <v>20.5</v>
      </c>
      <c r="P259" s="13">
        <v>246</v>
      </c>
      <c r="Q259" s="22">
        <v>3.099434210244123E-2</v>
      </c>
      <c r="R259" s="19">
        <f t="shared" si="26"/>
        <v>2.8583501695990554E-2</v>
      </c>
      <c r="S259" s="22">
        <v>3.0977132458099632E-2</v>
      </c>
      <c r="T259" s="19">
        <f t="shared" si="27"/>
        <v>2.784130285335551E-2</v>
      </c>
      <c r="U259" s="24">
        <v>3.5372574501058018E-2</v>
      </c>
      <c r="V259" s="24">
        <f t="shared" si="28"/>
        <v>3.2466063296607839E-2</v>
      </c>
      <c r="W259" s="23">
        <f t="shared" si="29"/>
        <v>2.6671594665184095E-3</v>
      </c>
      <c r="X259" s="24">
        <v>3.4491531173049372E-2</v>
      </c>
      <c r="Y259" s="24">
        <f t="shared" si="30"/>
        <v>3.1540951351353375E-2</v>
      </c>
      <c r="Z259" s="23">
        <f t="shared" si="31"/>
        <v>2.5922668182212227E-3</v>
      </c>
      <c r="AA259" s="36"/>
    </row>
    <row r="260" spans="4:27" ht="13.9" customHeight="1">
      <c r="D260" s="8"/>
      <c r="E260" s="9"/>
      <c r="F260" s="19"/>
      <c r="G260" s="19"/>
      <c r="H260" s="19"/>
      <c r="J260" s="45"/>
      <c r="K260" s="45"/>
      <c r="L260" s="45"/>
      <c r="M260" s="43"/>
      <c r="O260" s="12">
        <f t="shared" si="25"/>
        <v>20.583333333333332</v>
      </c>
      <c r="P260" s="13">
        <v>247</v>
      </c>
      <c r="Q260" s="22">
        <v>3.0984570231666231E-2</v>
      </c>
      <c r="R260" s="19">
        <f t="shared" si="26"/>
        <v>2.8570173100030072E-2</v>
      </c>
      <c r="S260" s="22">
        <v>3.0964417523221544E-2</v>
      </c>
      <c r="T260" s="19">
        <f t="shared" si="27"/>
        <v>2.7833473617485005E-2</v>
      </c>
      <c r="U260" s="24">
        <v>3.5360790768709016E-2</v>
      </c>
      <c r="V260" s="24">
        <f t="shared" si="28"/>
        <v>3.2456411037369293E-2</v>
      </c>
      <c r="W260" s="23">
        <f t="shared" si="29"/>
        <v>2.6660623764604985E-3</v>
      </c>
      <c r="X260" s="24">
        <v>3.4479568506726288E-2</v>
      </c>
      <c r="Y260" s="24">
        <f t="shared" si="30"/>
        <v>3.1531620609052791E-2</v>
      </c>
      <c r="Z260" s="23">
        <f t="shared" si="31"/>
        <v>2.5911640708955463E-3</v>
      </c>
      <c r="AA260" s="36"/>
    </row>
    <row r="261" spans="4:27" ht="13.9" customHeight="1">
      <c r="D261" s="8"/>
      <c r="E261" s="9"/>
      <c r="F261" s="19"/>
      <c r="G261" s="19"/>
      <c r="H261" s="19"/>
      <c r="J261" s="45"/>
      <c r="K261" s="45"/>
      <c r="L261" s="45"/>
      <c r="M261" s="43"/>
      <c r="O261" s="12">
        <f t="shared" si="25"/>
        <v>20.666666666666668</v>
      </c>
      <c r="P261" s="13">
        <v>248</v>
      </c>
      <c r="Q261" s="22">
        <v>3.0974823388164596E-2</v>
      </c>
      <c r="R261" s="19">
        <f t="shared" si="26"/>
        <v>2.8556587246883147E-2</v>
      </c>
      <c r="S261" s="22">
        <v>3.0951773617904355E-2</v>
      </c>
      <c r="T261" s="19">
        <f t="shared" si="27"/>
        <v>2.7831495798946504E-2</v>
      </c>
      <c r="U261" s="24">
        <v>3.5349063169691552E-2</v>
      </c>
      <c r="V261" s="24">
        <f t="shared" si="28"/>
        <v>3.2450647860725379E-2</v>
      </c>
      <c r="W261" s="23">
        <f t="shared" si="29"/>
        <v>2.6652812342211618E-3</v>
      </c>
      <c r="X261" s="24">
        <v>3.446766471930407E-2</v>
      </c>
      <c r="Y261" s="24">
        <f t="shared" si="30"/>
        <v>3.1526556420544249E-2</v>
      </c>
      <c r="Z261" s="23">
        <f t="shared" si="31"/>
        <v>2.5904083278687207E-3</v>
      </c>
      <c r="AA261" s="36"/>
    </row>
    <row r="262" spans="4:27" ht="13.9" customHeight="1">
      <c r="D262" s="8"/>
      <c r="E262" s="9"/>
      <c r="F262" s="19"/>
      <c r="G262" s="19"/>
      <c r="H262" s="19"/>
      <c r="J262" s="45"/>
      <c r="K262" s="45"/>
      <c r="L262" s="45"/>
      <c r="M262" s="43"/>
      <c r="O262" s="12">
        <f t="shared" si="25"/>
        <v>20.75</v>
      </c>
      <c r="P262" s="13">
        <v>249</v>
      </c>
      <c r="Q262" s="22">
        <v>3.0965100234537912E-2</v>
      </c>
      <c r="R262" s="19">
        <f t="shared" si="26"/>
        <v>2.8542743228765044E-2</v>
      </c>
      <c r="S262" s="22">
        <v>3.0939223456208031E-2</v>
      </c>
      <c r="T262" s="19">
        <f t="shared" si="27"/>
        <v>2.7835338552461897E-2</v>
      </c>
      <c r="U262" s="24">
        <v>3.5337406689561535E-2</v>
      </c>
      <c r="V262" s="24">
        <f t="shared" si="28"/>
        <v>3.2448759114441117E-2</v>
      </c>
      <c r="W262" s="23">
        <f t="shared" si="29"/>
        <v>2.6648148261601001E-3</v>
      </c>
      <c r="X262" s="24">
        <v>3.4455836284151831E-2</v>
      </c>
      <c r="Y262" s="24">
        <f t="shared" si="30"/>
        <v>3.1525741444996536E-2</v>
      </c>
      <c r="Z262" s="23">
        <f t="shared" si="31"/>
        <v>2.5899981515391524E-3</v>
      </c>
      <c r="AA262" s="36"/>
    </row>
    <row r="263" spans="4:27" ht="13.9" customHeight="1">
      <c r="D263" s="8"/>
      <c r="E263" s="9"/>
      <c r="F263" s="19"/>
      <c r="G263" s="19"/>
      <c r="H263" s="19"/>
      <c r="J263" s="45"/>
      <c r="K263" s="45"/>
      <c r="L263" s="45"/>
      <c r="M263" s="43"/>
      <c r="O263" s="12">
        <f t="shared" si="25"/>
        <v>20.833333333333332</v>
      </c>
      <c r="P263" s="13">
        <v>250</v>
      </c>
      <c r="Q263" s="22">
        <v>3.0955399451145782E-2</v>
      </c>
      <c r="R263" s="19">
        <f t="shared" si="26"/>
        <v>2.8528640124358962E-2</v>
      </c>
      <c r="S263" s="22">
        <v>3.0926789264029253E-2</v>
      </c>
      <c r="T263" s="19">
        <f t="shared" si="27"/>
        <v>2.7844971908657312E-2</v>
      </c>
      <c r="U263" s="24">
        <v>3.5325836014905132E-2</v>
      </c>
      <c r="V263" s="24">
        <f t="shared" si="28"/>
        <v>3.2450730600294353E-2</v>
      </c>
      <c r="W263" s="23">
        <f t="shared" si="29"/>
        <v>2.6646619713128761E-3</v>
      </c>
      <c r="X263" s="24">
        <v>3.4444099340988465E-2</v>
      </c>
      <c r="Y263" s="24">
        <f t="shared" si="30"/>
        <v>3.1529158868131013E-2</v>
      </c>
      <c r="Z263" s="23">
        <f t="shared" si="31"/>
        <v>2.5899321420390642E-3</v>
      </c>
      <c r="AA263" s="36"/>
    </row>
    <row r="264" spans="4:27" ht="13.9" customHeight="1">
      <c r="D264" s="8"/>
      <c r="E264" s="9"/>
      <c r="F264" s="19"/>
      <c r="G264" s="19"/>
      <c r="H264" s="19"/>
      <c r="J264" s="45"/>
      <c r="K264" s="45"/>
      <c r="L264" s="45"/>
      <c r="M264" s="43"/>
      <c r="O264" s="12">
        <f t="shared" si="25"/>
        <v>20.916666666666668</v>
      </c>
      <c r="P264" s="13">
        <v>251</v>
      </c>
      <c r="Q264" s="22">
        <v>3.0945719735697708E-2</v>
      </c>
      <c r="R264" s="19">
        <f t="shared" si="26"/>
        <v>2.8514276995724064E-2</v>
      </c>
      <c r="S264" s="22">
        <v>3.091449279196179E-2</v>
      </c>
      <c r="T264" s="19">
        <f t="shared" si="27"/>
        <v>2.7860366793389435E-2</v>
      </c>
      <c r="U264" s="24">
        <v>3.5314365540947579E-2</v>
      </c>
      <c r="V264" s="24">
        <f t="shared" si="28"/>
        <v>3.2456548583579492E-2</v>
      </c>
      <c r="W264" s="23">
        <f t="shared" si="29"/>
        <v>2.6648215222067062E-3</v>
      </c>
      <c r="X264" s="24">
        <v>3.4432469704439805E-2</v>
      </c>
      <c r="Y264" s="24">
        <f t="shared" si="30"/>
        <v>3.1536792413154657E-2</v>
      </c>
      <c r="Z264" s="23">
        <f t="shared" si="31"/>
        <v>2.5902089382356941E-3</v>
      </c>
      <c r="AA264" s="36"/>
    </row>
    <row r="265" spans="4:27" ht="13.9" customHeight="1">
      <c r="D265" s="8"/>
      <c r="E265" s="9"/>
      <c r="F265" s="19"/>
      <c r="G265" s="19"/>
      <c r="H265" s="19"/>
      <c r="J265" s="45"/>
      <c r="K265" s="45"/>
      <c r="L265" s="45"/>
      <c r="M265" s="43"/>
      <c r="O265" s="12">
        <f t="shared" si="25"/>
        <v>21</v>
      </c>
      <c r="P265" s="13">
        <v>252</v>
      </c>
      <c r="Q265" s="22">
        <v>3.0936059802841198E-2</v>
      </c>
      <c r="R265" s="19">
        <f t="shared" si="26"/>
        <v>2.8499653665367664E-2</v>
      </c>
      <c r="S265" s="22">
        <v>3.0902355327938169E-2</v>
      </c>
      <c r="T265" s="19">
        <f t="shared" si="27"/>
        <v>2.7881495048206473E-2</v>
      </c>
      <c r="U265" s="24">
        <v>3.530300937902231E-2</v>
      </c>
      <c r="V265" s="24">
        <f t="shared" si="28"/>
        <v>3.2466199802283713E-2</v>
      </c>
      <c r="W265" s="23">
        <f t="shared" si="29"/>
        <v>2.6652923656678151E-3</v>
      </c>
      <c r="X265" s="24">
        <v>3.4420962872439675E-2</v>
      </c>
      <c r="Y265" s="24">
        <f t="shared" si="30"/>
        <v>3.1548626352054354E-2</v>
      </c>
      <c r="Z265" s="23">
        <f t="shared" si="31"/>
        <v>2.5908272186689896E-3</v>
      </c>
      <c r="AA265" s="36"/>
    </row>
    <row r="266" spans="4:27" ht="13.9" customHeight="1">
      <c r="D266" s="8"/>
      <c r="E266" s="9"/>
      <c r="F266" s="19"/>
      <c r="G266" s="19"/>
      <c r="H266" s="19"/>
      <c r="J266" s="45"/>
      <c r="K266" s="45"/>
      <c r="L266" s="45"/>
      <c r="M266" s="43"/>
      <c r="O266" s="12">
        <f t="shared" si="25"/>
        <v>21.083333333333332</v>
      </c>
      <c r="P266" s="13">
        <v>253</v>
      </c>
      <c r="Q266" s="22">
        <v>3.0926418386839183E-2</v>
      </c>
      <c r="R266" s="19">
        <f t="shared" si="26"/>
        <v>2.8484772261435198E-2</v>
      </c>
      <c r="S266" s="22">
        <v>3.0890397709663286E-2</v>
      </c>
      <c r="T266" s="19">
        <f t="shared" si="27"/>
        <v>2.7908329450208269E-2</v>
      </c>
      <c r="U266" s="24">
        <v>3.5291781363904429E-2</v>
      </c>
      <c r="V266" s="24">
        <f t="shared" si="28"/>
        <v>3.247967147667441E-2</v>
      </c>
      <c r="W266" s="23">
        <f t="shared" si="29"/>
        <v>2.6660734236032546E-3</v>
      </c>
      <c r="X266" s="24">
        <v>3.4409594034481961E-2</v>
      </c>
      <c r="Y266" s="24">
        <f t="shared" si="30"/>
        <v>3.1564645516680923E-2</v>
      </c>
      <c r="Z266" s="23">
        <f t="shared" si="31"/>
        <v>2.5917857025135049E-3</v>
      </c>
      <c r="AA266" s="36"/>
    </row>
    <row r="267" spans="4:27" ht="13.9" customHeight="1">
      <c r="D267" s="8"/>
      <c r="E267" s="9"/>
      <c r="F267" s="19"/>
      <c r="G267" s="19"/>
      <c r="H267" s="19"/>
      <c r="J267" s="45"/>
      <c r="K267" s="45"/>
      <c r="L267" s="45"/>
      <c r="M267" s="43"/>
      <c r="O267" s="12">
        <f t="shared" si="25"/>
        <v>21.166666666666668</v>
      </c>
      <c r="P267" s="13">
        <v>254</v>
      </c>
      <c r="Q267" s="22">
        <v>3.0916794250281043E-2</v>
      </c>
      <c r="R267" s="19">
        <f t="shared" si="26"/>
        <v>2.8469632576636927E-2</v>
      </c>
      <c r="S267" s="22">
        <v>3.08786403368424E-2</v>
      </c>
      <c r="T267" s="19">
        <f t="shared" si="27"/>
        <v>2.7940843730219767E-2</v>
      </c>
      <c r="U267" s="24">
        <v>3.5280695061010725E-2</v>
      </c>
      <c r="V267" s="24">
        <f t="shared" si="28"/>
        <v>3.2496951317737333E-2</v>
      </c>
      <c r="W267" s="23">
        <f t="shared" si="29"/>
        <v>2.6671636538118104E-3</v>
      </c>
      <c r="X267" s="24">
        <v>3.4398378079725456E-2</v>
      </c>
      <c r="Y267" s="24">
        <f t="shared" si="30"/>
        <v>3.1584835309115267E-2</v>
      </c>
      <c r="Z267" s="23">
        <f t="shared" si="31"/>
        <v>2.5930831505240892E-3</v>
      </c>
      <c r="AA267" s="36"/>
    </row>
    <row r="268" spans="4:27" ht="13.9" customHeight="1">
      <c r="D268" s="8"/>
      <c r="E268" s="9"/>
      <c r="F268" s="19"/>
      <c r="G268" s="19"/>
      <c r="H268" s="19"/>
      <c r="J268" s="45"/>
      <c r="K268" s="45"/>
      <c r="L268" s="45"/>
      <c r="M268" s="43"/>
      <c r="O268" s="12">
        <f t="shared" si="25"/>
        <v>21.25</v>
      </c>
      <c r="P268" s="13">
        <v>255</v>
      </c>
      <c r="Q268" s="22">
        <v>3.0907186174346846E-2</v>
      </c>
      <c r="R268" s="19">
        <f t="shared" si="26"/>
        <v>2.8454233615071933E-2</v>
      </c>
      <c r="S268" s="22">
        <v>3.086710318320196E-2</v>
      </c>
      <c r="T268" s="19">
        <f t="shared" si="27"/>
        <v>2.7979012593042363E-2</v>
      </c>
      <c r="U268" s="24">
        <v>3.5269763773467799E-2</v>
      </c>
      <c r="V268" s="24">
        <f t="shared" si="28"/>
        <v>3.2518027537661753E-2</v>
      </c>
      <c r="W268" s="23">
        <f t="shared" si="29"/>
        <v>2.6685620507007624E-3</v>
      </c>
      <c r="X268" s="24">
        <v>3.438732960495372E-2</v>
      </c>
      <c r="Y268" s="24">
        <f t="shared" si="30"/>
        <v>3.1609181713529777E-2</v>
      </c>
      <c r="Z268" s="23">
        <f t="shared" si="31"/>
        <v>2.5947183659185136E-3</v>
      </c>
      <c r="AA268" s="36"/>
    </row>
    <row r="269" spans="4:27" ht="13.9" customHeight="1">
      <c r="D269" s="8"/>
      <c r="E269" s="9"/>
      <c r="F269" s="19"/>
      <c r="G269" s="19"/>
      <c r="H269" s="19"/>
      <c r="J269" s="45"/>
      <c r="K269" s="45"/>
      <c r="L269" s="45"/>
      <c r="M269" s="43"/>
      <c r="O269" s="12">
        <f t="shared" si="25"/>
        <v>21.333333333333332</v>
      </c>
      <c r="P269" s="13">
        <v>256</v>
      </c>
      <c r="Q269" s="22">
        <v>3.0897592955354769E-2</v>
      </c>
      <c r="R269" s="19">
        <f t="shared" si="26"/>
        <v>2.8438574366741021E-2</v>
      </c>
      <c r="S269" s="22">
        <v>3.0855805808316816E-2</v>
      </c>
      <c r="T269" s="19">
        <f t="shared" si="27"/>
        <v>2.8022811735568753E-2</v>
      </c>
      <c r="U269" s="24">
        <v>3.5259000549058506E-2</v>
      </c>
      <c r="V269" s="24">
        <f t="shared" si="28"/>
        <v>3.2542888857513441E-2</v>
      </c>
      <c r="W269" s="23">
        <f t="shared" si="29"/>
        <v>2.670267646165847E-3</v>
      </c>
      <c r="X269" s="24">
        <v>3.4376462922397488E-2</v>
      </c>
      <c r="Y269" s="24">
        <f t="shared" si="30"/>
        <v>3.1637671305660753E-2</v>
      </c>
      <c r="Z269" s="23">
        <f t="shared" si="31"/>
        <v>2.5966901953797805E-3</v>
      </c>
      <c r="AA269" s="36"/>
    </row>
    <row r="270" spans="4:27" ht="13.9" customHeight="1">
      <c r="D270" s="8"/>
      <c r="E270" s="9"/>
      <c r="F270" s="19"/>
      <c r="G270" s="19"/>
      <c r="H270" s="19"/>
      <c r="J270" s="45"/>
      <c r="K270" s="45"/>
      <c r="L270" s="45"/>
      <c r="M270" s="43"/>
      <c r="O270" s="12">
        <f t="shared" ref="O270:O333" si="32">P270/12</f>
        <v>21.416666666666668</v>
      </c>
      <c r="P270" s="13">
        <v>257</v>
      </c>
      <c r="Q270" s="22">
        <v>3.0888013404410941E-2</v>
      </c>
      <c r="R270" s="19">
        <f t="shared" ref="R270:R333" si="33">(1+Q271)^P271/(1+Q270)^P270-1</f>
        <v>2.8422653805954212E-2</v>
      </c>
      <c r="S270" s="22">
        <v>3.0844767369240245E-2</v>
      </c>
      <c r="T270" s="19">
        <f t="shared" ref="T270:T333" si="34">(1+S271)^P271/(1+S270)^P270-1</f>
        <v>2.807221786614833E-2</v>
      </c>
      <c r="U270" s="24">
        <v>3.5248418187039166E-2</v>
      </c>
      <c r="V270" s="24">
        <f t="shared" ref="V270:V333" si="35">(1+U271)^P271/(1+U270)^P270-1</f>
        <v>3.2571524517206019E-2</v>
      </c>
      <c r="W270" s="23">
        <f t="shared" si="29"/>
        <v>2.6722795102422925E-3</v>
      </c>
      <c r="X270" s="24">
        <v>3.4365792067416967E-2</v>
      </c>
      <c r="Y270" s="24">
        <f t="shared" si="30"/>
        <v>3.1670291264765282E-2</v>
      </c>
      <c r="Z270" s="23">
        <f t="shared" si="31"/>
        <v>2.5989975298610357E-3</v>
      </c>
      <c r="AA270" s="36"/>
    </row>
    <row r="271" spans="4:27" ht="13.9" customHeight="1">
      <c r="D271" s="8"/>
      <c r="E271" s="9"/>
      <c r="F271" s="19"/>
      <c r="G271" s="19"/>
      <c r="H271" s="19"/>
      <c r="J271" s="45"/>
      <c r="K271" s="45"/>
      <c r="L271" s="45"/>
      <c r="M271" s="43"/>
      <c r="O271" s="12">
        <f t="shared" si="32"/>
        <v>21.5</v>
      </c>
      <c r="P271" s="13">
        <v>258</v>
      </c>
      <c r="Q271" s="22">
        <v>3.087844634706105E-2</v>
      </c>
      <c r="R271" s="19">
        <f t="shared" si="33"/>
        <v>2.8406471656676535E-2</v>
      </c>
      <c r="S271" s="22">
        <v>3.0834006631946131E-2</v>
      </c>
      <c r="T271" s="19">
        <f t="shared" si="34"/>
        <v>2.8127208722598329E-2</v>
      </c>
      <c r="U271" s="24">
        <v>3.5238029244839986E-2</v>
      </c>
      <c r="V271" s="24">
        <f t="shared" si="35"/>
        <v>3.2603924284426267E-2</v>
      </c>
      <c r="W271" s="23">
        <f t="shared" ref="W271:W334" si="36">(1+V270)^(1/12)-1</f>
        <v>2.674596751938596E-3</v>
      </c>
      <c r="X271" s="24">
        <v>3.4355330806053797E-2</v>
      </c>
      <c r="Y271" s="24">
        <f t="shared" ref="Y271:Y334" si="37">(1+X272)^P272/(1+X271)^P271-1</f>
        <v>3.1707029383396979E-2</v>
      </c>
      <c r="Z271" s="23">
        <f t="shared" ref="Z271:Z334" si="38">(1+Y270)^(1/12)-1</f>
        <v>2.6016393055905418E-3</v>
      </c>
      <c r="AA271" s="36"/>
    </row>
    <row r="272" spans="4:27" ht="13.9" customHeight="1">
      <c r="D272" s="8"/>
      <c r="E272" s="9"/>
      <c r="F272" s="19"/>
      <c r="G272" s="19"/>
      <c r="H272" s="19"/>
      <c r="J272" s="45"/>
      <c r="K272" s="45"/>
      <c r="L272" s="45"/>
      <c r="M272" s="43"/>
      <c r="O272" s="12">
        <f t="shared" si="32"/>
        <v>21.583333333333332</v>
      </c>
      <c r="P272" s="13">
        <v>259</v>
      </c>
      <c r="Q272" s="22">
        <v>3.0868890625911583E-2</v>
      </c>
      <c r="R272" s="19">
        <f t="shared" si="33"/>
        <v>2.839002991669437E-2</v>
      </c>
      <c r="S272" s="22">
        <v>3.082354198258308E-2</v>
      </c>
      <c r="T272" s="19">
        <f t="shared" si="34"/>
        <v>2.8187763090941287E-2</v>
      </c>
      <c r="U272" s="24">
        <v>3.5227846044646904E-2</v>
      </c>
      <c r="V272" s="24">
        <f t="shared" si="35"/>
        <v>3.2640078463198829E-2</v>
      </c>
      <c r="W272" s="23">
        <f t="shared" si="36"/>
        <v>2.6772185199845921E-3</v>
      </c>
      <c r="X272" s="24">
        <v>3.4345092642450004E-2</v>
      </c>
      <c r="Y272" s="24">
        <f t="shared" si="37"/>
        <v>3.1747874078472682E-2</v>
      </c>
      <c r="Z272" s="23">
        <f t="shared" si="38"/>
        <v>2.6046145048954639E-3</v>
      </c>
      <c r="AA272" s="36"/>
    </row>
    <row r="273" spans="4:27" ht="13.9" customHeight="1">
      <c r="D273" s="8"/>
      <c r="E273" s="9"/>
      <c r="F273" s="19"/>
      <c r="G273" s="19"/>
      <c r="H273" s="19"/>
      <c r="J273" s="45"/>
      <c r="K273" s="45"/>
      <c r="L273" s="45"/>
      <c r="M273" s="43"/>
      <c r="O273" s="12">
        <f t="shared" si="32"/>
        <v>21.666666666666668</v>
      </c>
      <c r="P273" s="13">
        <v>260</v>
      </c>
      <c r="Q273" s="22">
        <v>3.0859345109067515E-2</v>
      </c>
      <c r="R273" s="19">
        <f t="shared" si="33"/>
        <v>2.8373328280721255E-2</v>
      </c>
      <c r="S273" s="22">
        <v>3.0813391438547777E-2</v>
      </c>
      <c r="T273" s="19">
        <f t="shared" si="34"/>
        <v>2.8253860823612698E-2</v>
      </c>
      <c r="U273" s="24">
        <v>3.521788067986753E-2</v>
      </c>
      <c r="V273" s="24">
        <f t="shared" si="35"/>
        <v>3.2679977903459667E-2</v>
      </c>
      <c r="W273" s="23">
        <f t="shared" si="36"/>
        <v>2.6801440035473245E-3</v>
      </c>
      <c r="X273" s="24">
        <v>3.4335090826141945E-2</v>
      </c>
      <c r="Y273" s="24">
        <f t="shared" si="37"/>
        <v>3.1792814402015868E-2</v>
      </c>
      <c r="Z273" s="23">
        <f t="shared" si="38"/>
        <v>2.6079221571284616E-3</v>
      </c>
      <c r="AA273" s="36"/>
    </row>
    <row r="274" spans="4:27" ht="13.9" customHeight="1">
      <c r="D274" s="8"/>
      <c r="E274" s="9"/>
      <c r="F274" s="19"/>
      <c r="G274" s="19"/>
      <c r="H274" s="19"/>
      <c r="J274" s="45"/>
      <c r="K274" s="45"/>
      <c r="L274" s="45"/>
      <c r="M274" s="43"/>
      <c r="O274" s="12">
        <f t="shared" si="32"/>
        <v>21.75</v>
      </c>
      <c r="P274" s="13">
        <v>261</v>
      </c>
      <c r="Q274" s="22">
        <v>3.0849808680798008E-2</v>
      </c>
      <c r="R274" s="19">
        <f t="shared" si="33"/>
        <v>2.8356365665552552E-2</v>
      </c>
      <c r="S274" s="22">
        <v>3.0803572659379608E-2</v>
      </c>
      <c r="T274" s="19">
        <f t="shared" si="34"/>
        <v>2.8325482857960438E-2</v>
      </c>
      <c r="U274" s="24">
        <v>3.5208145021487836E-2</v>
      </c>
      <c r="V274" s="24">
        <f t="shared" si="35"/>
        <v>3.2723614009704693E-2</v>
      </c>
      <c r="W274" s="23">
        <f t="shared" si="36"/>
        <v>2.6833724330259656E-3</v>
      </c>
      <c r="X274" s="24">
        <v>3.4325338359229018E-2</v>
      </c>
      <c r="Y274" s="24">
        <f t="shared" si="37"/>
        <v>3.1841840051014092E-2</v>
      </c>
      <c r="Z274" s="23">
        <f t="shared" si="38"/>
        <v>2.6115613395654158E-3</v>
      </c>
      <c r="AA274" s="36"/>
    </row>
    <row r="275" spans="4:27" ht="13.9" customHeight="1">
      <c r="D275" s="8"/>
      <c r="E275" s="9"/>
      <c r="F275" s="19"/>
      <c r="G275" s="19"/>
      <c r="H275" s="19"/>
      <c r="J275" s="45"/>
      <c r="K275" s="45"/>
      <c r="L275" s="45"/>
      <c r="M275" s="43"/>
      <c r="O275" s="12">
        <f t="shared" si="32"/>
        <v>21.833333333333332</v>
      </c>
      <c r="P275" s="13">
        <v>262</v>
      </c>
      <c r="Q275" s="22">
        <v>3.0840280238250362E-2</v>
      </c>
      <c r="R275" s="19">
        <f t="shared" si="33"/>
        <v>2.8339140974281918E-2</v>
      </c>
      <c r="S275" s="22">
        <v>3.0794102957482083E-2</v>
      </c>
      <c r="T275" s="19">
        <f t="shared" si="34"/>
        <v>2.8402611234526143E-2</v>
      </c>
      <c r="U275" s="24">
        <v>3.5198650724316938E-2</v>
      </c>
      <c r="V275" s="24">
        <f t="shared" si="35"/>
        <v>3.2770978750059632E-2</v>
      </c>
      <c r="W275" s="23">
        <f t="shared" si="36"/>
        <v>2.6869030807712413E-3</v>
      </c>
      <c r="X275" s="24">
        <v>3.4315848003420912E-2</v>
      </c>
      <c r="Y275" s="24">
        <f t="shared" si="37"/>
        <v>3.1894941379121411E-2</v>
      </c>
      <c r="Z275" s="23">
        <f t="shared" si="38"/>
        <v>2.615531178227215E-3</v>
      </c>
      <c r="AA275" s="36"/>
    </row>
    <row r="276" spans="4:27" ht="13.9" customHeight="1">
      <c r="D276" s="8"/>
      <c r="E276" s="9"/>
      <c r="F276" s="19"/>
      <c r="G276" s="19"/>
      <c r="H276" s="19"/>
      <c r="J276" s="45"/>
      <c r="K276" s="45"/>
      <c r="L276" s="45"/>
      <c r="M276" s="43"/>
      <c r="O276" s="12">
        <f t="shared" si="32"/>
        <v>21.916666666666668</v>
      </c>
      <c r="P276" s="13">
        <v>263</v>
      </c>
      <c r="Q276" s="22">
        <v>3.0830758691152038E-2</v>
      </c>
      <c r="R276" s="19">
        <f t="shared" si="33"/>
        <v>2.8321653095502386E-2</v>
      </c>
      <c r="S276" s="22">
        <v>3.0784999308675065E-2</v>
      </c>
      <c r="T276" s="19">
        <f t="shared" si="34"/>
        <v>2.8485229114345145E-2</v>
      </c>
      <c r="U276" s="24">
        <v>3.5189409233127966E-2</v>
      </c>
      <c r="V276" s="24">
        <f t="shared" si="35"/>
        <v>3.2822064665431139E-2</v>
      </c>
      <c r="W276" s="23">
        <f t="shared" si="36"/>
        <v>2.6907352618341651E-3</v>
      </c>
      <c r="X276" s="24">
        <v>3.430663228696873E-2</v>
      </c>
      <c r="Y276" s="24">
        <f t="shared" si="37"/>
        <v>3.1952109406516715E-2</v>
      </c>
      <c r="Z276" s="23">
        <f t="shared" si="38"/>
        <v>2.6198308488485367E-3</v>
      </c>
      <c r="AA276" s="36"/>
    </row>
    <row r="277" spans="4:27" ht="13.9" customHeight="1">
      <c r="D277" s="8"/>
      <c r="E277" s="9"/>
      <c r="F277" s="19"/>
      <c r="G277" s="19"/>
      <c r="H277" s="19"/>
      <c r="J277" s="45"/>
      <c r="K277" s="45"/>
      <c r="L277" s="45"/>
      <c r="M277" s="43"/>
      <c r="O277" s="12">
        <f t="shared" si="32"/>
        <v>22</v>
      </c>
      <c r="P277" s="13">
        <v>264</v>
      </c>
      <c r="Q277" s="22">
        <v>3.0821242961516893E-2</v>
      </c>
      <c r="R277" s="19">
        <f t="shared" si="33"/>
        <v>2.8303901655335917E-2</v>
      </c>
      <c r="S277" s="22">
        <v>3.0776278362576903E-2</v>
      </c>
      <c r="T277" s="19">
        <f t="shared" si="34"/>
        <v>2.8573320798822577E-2</v>
      </c>
      <c r="U277" s="24">
        <v>3.5180431788694122E-2</v>
      </c>
      <c r="V277" s="24">
        <f t="shared" si="35"/>
        <v>3.2876864878387257E-2</v>
      </c>
      <c r="W277" s="23">
        <f t="shared" si="36"/>
        <v>2.6948683347218783E-3</v>
      </c>
      <c r="X277" s="24">
        <v>3.429770351147976E-2</v>
      </c>
      <c r="Y277" s="24">
        <f t="shared" si="37"/>
        <v>3.2013335830552103E-2</v>
      </c>
      <c r="Z277" s="23">
        <f t="shared" si="38"/>
        <v>2.624459577695637E-3</v>
      </c>
      <c r="AA277" s="36"/>
    </row>
    <row r="278" spans="4:27" ht="13.9" customHeight="1">
      <c r="D278" s="8"/>
      <c r="E278" s="9"/>
      <c r="F278" s="19"/>
      <c r="G278" s="19"/>
      <c r="H278" s="19"/>
      <c r="J278" s="45"/>
      <c r="K278" s="45"/>
      <c r="L278" s="45"/>
      <c r="M278" s="43"/>
      <c r="O278" s="12">
        <f t="shared" si="32"/>
        <v>22.083333333333332</v>
      </c>
      <c r="P278" s="13">
        <v>265</v>
      </c>
      <c r="Q278" s="22">
        <v>3.0811731986202018E-2</v>
      </c>
      <c r="R278" s="19">
        <f t="shared" si="33"/>
        <v>2.8285888523786218E-2</v>
      </c>
      <c r="S278" s="22">
        <v>3.0767956452830925E-2</v>
      </c>
      <c r="T278" s="19">
        <f t="shared" si="34"/>
        <v>2.8666871746366951E-2</v>
      </c>
      <c r="U278" s="24">
        <v>3.5171729433724597E-2</v>
      </c>
      <c r="V278" s="24">
        <f t="shared" si="35"/>
        <v>3.2935373102339183E-2</v>
      </c>
      <c r="W278" s="23">
        <f t="shared" si="36"/>
        <v>2.6993017021257337E-3</v>
      </c>
      <c r="X278" s="24">
        <v>3.4289073758619892E-2</v>
      </c>
      <c r="Y278" s="24">
        <f t="shared" si="37"/>
        <v>3.2078613036775172E-2</v>
      </c>
      <c r="Z278" s="23">
        <f t="shared" si="38"/>
        <v>2.6294166424420951E-3</v>
      </c>
      <c r="AA278" s="36"/>
    </row>
    <row r="279" spans="4:27" ht="13.9" customHeight="1">
      <c r="D279" s="8"/>
      <c r="E279" s="9"/>
      <c r="F279" s="19"/>
      <c r="G279" s="19"/>
      <c r="H279" s="19"/>
      <c r="J279" s="45"/>
      <c r="K279" s="45"/>
      <c r="L279" s="45"/>
      <c r="M279" s="43"/>
      <c r="O279" s="12">
        <f t="shared" si="32"/>
        <v>22.166666666666668</v>
      </c>
      <c r="P279" s="13">
        <v>266</v>
      </c>
      <c r="Q279" s="22">
        <v>3.0802224725083871E-2</v>
      </c>
      <c r="R279" s="19">
        <f t="shared" si="33"/>
        <v>2.8267613298175842E-2</v>
      </c>
      <c r="S279" s="22">
        <v>3.076004960716805E-2</v>
      </c>
      <c r="T279" s="19">
        <f t="shared" si="34"/>
        <v>2.8765868591832167E-2</v>
      </c>
      <c r="U279" s="24">
        <v>3.5163313018701237E-2</v>
      </c>
      <c r="V279" s="24">
        <f t="shared" si="35"/>
        <v>3.2997583650640205E-2</v>
      </c>
      <c r="W279" s="23">
        <f t="shared" si="36"/>
        <v>2.7040348116744717E-3</v>
      </c>
      <c r="X279" s="24">
        <v>3.4280754896707677E-2</v>
      </c>
      <c r="Y279" s="24">
        <f t="shared" si="37"/>
        <v>3.214793410969996E-2</v>
      </c>
      <c r="Z279" s="23">
        <f t="shared" si="38"/>
        <v>2.6347013730747548E-3</v>
      </c>
      <c r="AA279" s="36"/>
    </row>
    <row r="280" spans="4:27" ht="13.9" customHeight="1">
      <c r="D280" s="8"/>
      <c r="E280" s="9"/>
      <c r="F280" s="19"/>
      <c r="G280" s="19"/>
      <c r="H280" s="19"/>
      <c r="J280" s="45"/>
      <c r="K280" s="45"/>
      <c r="L280" s="45"/>
      <c r="M280" s="43"/>
      <c r="O280" s="12">
        <f t="shared" si="32"/>
        <v>22.25</v>
      </c>
      <c r="P280" s="13">
        <v>267</v>
      </c>
      <c r="Q280" s="22">
        <v>3.0792720152094333E-2</v>
      </c>
      <c r="R280" s="19">
        <f t="shared" si="33"/>
        <v>2.8249074810226649E-2</v>
      </c>
      <c r="S280" s="22">
        <v>3.0752573557319085E-2</v>
      </c>
      <c r="T280" s="19">
        <f t="shared" si="34"/>
        <v>2.8870299164279523E-2</v>
      </c>
      <c r="U280" s="24">
        <v>3.515519320762106E-2</v>
      </c>
      <c r="V280" s="24">
        <f t="shared" si="35"/>
        <v>3.306349144572085E-2</v>
      </c>
      <c r="W280" s="23">
        <f t="shared" si="36"/>
        <v>2.7090671566769586E-3</v>
      </c>
      <c r="X280" s="24">
        <v>3.4272758587202468E-2</v>
      </c>
      <c r="Y280" s="24">
        <f t="shared" si="37"/>
        <v>3.222129284312536E-2</v>
      </c>
      <c r="Z280" s="23">
        <f t="shared" si="38"/>
        <v>2.6403131527734658E-3</v>
      </c>
      <c r="AA280" s="36"/>
    </row>
    <row r="281" spans="4:27" ht="13.9" customHeight="1">
      <c r="D281" s="8"/>
      <c r="E281" s="9"/>
      <c r="F281" s="19"/>
      <c r="G281" s="19"/>
      <c r="H281" s="19"/>
      <c r="J281" s="45"/>
      <c r="K281" s="45"/>
      <c r="L281" s="45"/>
      <c r="M281" s="43"/>
      <c r="O281" s="12">
        <f t="shared" si="32"/>
        <v>22.333333333333332</v>
      </c>
      <c r="P281" s="13">
        <v>268</v>
      </c>
      <c r="Q281" s="22">
        <v>3.0783217252093653E-2</v>
      </c>
      <c r="R281" s="19">
        <f t="shared" si="33"/>
        <v>2.823027187731908E-2</v>
      </c>
      <c r="S281" s="22">
        <v>3.0745543748774473E-2</v>
      </c>
      <c r="T281" s="19">
        <f t="shared" si="34"/>
        <v>2.8980152505804657E-2</v>
      </c>
      <c r="U281" s="24">
        <v>3.5147380483644186E-2</v>
      </c>
      <c r="V281" s="24">
        <f t="shared" si="35"/>
        <v>3.3133092028556632E-2</v>
      </c>
      <c r="W281" s="23">
        <f t="shared" si="36"/>
        <v>2.7143982768635944E-3</v>
      </c>
      <c r="X281" s="24">
        <v>3.4265096291087538E-2</v>
      </c>
      <c r="Y281" s="24">
        <f t="shared" si="37"/>
        <v>3.2298683751196489E-2</v>
      </c>
      <c r="Z281" s="23">
        <f t="shared" si="38"/>
        <v>2.6462514187528541E-3</v>
      </c>
      <c r="AA281" s="36"/>
    </row>
    <row r="282" spans="4:27" ht="13.9" customHeight="1">
      <c r="D282" s="8"/>
      <c r="E282" s="9"/>
      <c r="F282" s="19"/>
      <c r="G282" s="19"/>
      <c r="H282" s="19"/>
      <c r="J282" s="45"/>
      <c r="K282" s="45"/>
      <c r="L282" s="45"/>
      <c r="M282" s="43"/>
      <c r="O282" s="12">
        <f t="shared" si="32"/>
        <v>22.416666666666668</v>
      </c>
      <c r="P282" s="13">
        <v>269</v>
      </c>
      <c r="Q282" s="22">
        <v>3.077371502061288E-2</v>
      </c>
      <c r="R282" s="19">
        <f t="shared" si="33"/>
        <v>2.8211203302646704E-2</v>
      </c>
      <c r="S282" s="22">
        <v>3.0738975350399045E-2</v>
      </c>
      <c r="T282" s="19">
        <f t="shared" si="34"/>
        <v>2.9095418890168645E-2</v>
      </c>
      <c r="U282" s="24">
        <v>3.5139885154652495E-2</v>
      </c>
      <c r="V282" s="24">
        <f t="shared" si="35"/>
        <v>3.320638156719391E-2</v>
      </c>
      <c r="W282" s="23">
        <f t="shared" si="36"/>
        <v>2.7200277591556965E-3</v>
      </c>
      <c r="X282" s="24">
        <v>3.4257779275152833E-2</v>
      </c>
      <c r="Y282" s="24">
        <f t="shared" si="37"/>
        <v>3.2380102080026063E-2</v>
      </c>
      <c r="Z282" s="23">
        <f t="shared" si="38"/>
        <v>2.6525156631602709E-3</v>
      </c>
      <c r="AA282" s="36"/>
    </row>
    <row r="283" spans="4:27" ht="13.9" customHeight="1">
      <c r="D283" s="8"/>
      <c r="E283" s="9"/>
      <c r="F283" s="19"/>
      <c r="G283" s="19"/>
      <c r="H283" s="19"/>
      <c r="J283" s="45"/>
      <c r="K283" s="45"/>
      <c r="L283" s="45"/>
      <c r="M283" s="43"/>
      <c r="O283" s="12">
        <f t="shared" si="32"/>
        <v>22.5</v>
      </c>
      <c r="P283" s="13">
        <v>270</v>
      </c>
      <c r="Q283" s="22">
        <v>3.0764212463602947E-2</v>
      </c>
      <c r="R283" s="19">
        <f t="shared" si="33"/>
        <v>2.8191868617678306E-2</v>
      </c>
      <c r="S283" s="22">
        <v>3.0732883263903776E-2</v>
      </c>
      <c r="T283" s="19">
        <f t="shared" si="34"/>
        <v>2.9216089841523685E-2</v>
      </c>
      <c r="U283" s="24">
        <v>3.513271735871748E-2</v>
      </c>
      <c r="V283" s="24">
        <f t="shared" si="35"/>
        <v>3.3283356867615854E-2</v>
      </c>
      <c r="W283" s="23">
        <f t="shared" si="36"/>
        <v>2.7259552383525065E-3</v>
      </c>
      <c r="X283" s="24">
        <v>3.4250818618182688E-2</v>
      </c>
      <c r="Y283" s="24">
        <f t="shared" si="37"/>
        <v>3.2465543817183251E-2</v>
      </c>
      <c r="Z283" s="23">
        <f t="shared" si="38"/>
        <v>2.6591054340154852E-3</v>
      </c>
      <c r="AA283" s="36"/>
    </row>
    <row r="284" spans="4:27" ht="13.9" customHeight="1">
      <c r="D284" s="8"/>
      <c r="E284" s="9"/>
      <c r="F284" s="19"/>
      <c r="G284" s="19"/>
      <c r="H284" s="19"/>
      <c r="J284" s="45"/>
      <c r="K284" s="45"/>
      <c r="L284" s="45"/>
      <c r="M284" s="43"/>
      <c r="O284" s="12">
        <f t="shared" si="32"/>
        <v>22.583333333333332</v>
      </c>
      <c r="P284" s="13">
        <v>271</v>
      </c>
      <c r="Q284" s="22">
        <v>3.0754708599935121E-2</v>
      </c>
      <c r="R284" s="19">
        <f t="shared" si="33"/>
        <v>2.8172269564264996E-2</v>
      </c>
      <c r="S284" s="22">
        <v>3.0727282133178768E-2</v>
      </c>
      <c r="T284" s="19">
        <f t="shared" si="34"/>
        <v>2.9342158153522924E-2</v>
      </c>
      <c r="U284" s="24">
        <v>3.5125887069487272E-2</v>
      </c>
      <c r="V284" s="24">
        <f t="shared" si="35"/>
        <v>3.3364015381652568E-2</v>
      </c>
      <c r="W284" s="23">
        <f t="shared" si="36"/>
        <v>2.7321803980064896E-3</v>
      </c>
      <c r="X284" s="24">
        <v>3.424422521704118E-2</v>
      </c>
      <c r="Y284" s="24">
        <f t="shared" si="37"/>
        <v>3.2555005704766549E-2</v>
      </c>
      <c r="Z284" s="23">
        <f t="shared" si="38"/>
        <v>2.666020335973851E-3</v>
      </c>
      <c r="AA284" s="36"/>
    </row>
    <row r="285" spans="4:27" ht="13.9" customHeight="1">
      <c r="D285" s="8"/>
      <c r="E285" s="9"/>
      <c r="F285" s="19"/>
      <c r="G285" s="19"/>
      <c r="H285" s="19"/>
      <c r="J285" s="45"/>
      <c r="K285" s="45"/>
      <c r="L285" s="45"/>
      <c r="M285" s="43"/>
      <c r="O285" s="12">
        <f t="shared" si="32"/>
        <v>22.666666666666668</v>
      </c>
      <c r="P285" s="13">
        <v>272</v>
      </c>
      <c r="Q285" s="22">
        <v>3.0745202469310229E-2</v>
      </c>
      <c r="R285" s="19">
        <f t="shared" si="33"/>
        <v>2.8152405645463174E-2</v>
      </c>
      <c r="S285" s="22">
        <v>3.0722186353492109E-2</v>
      </c>
      <c r="T285" s="19">
        <f t="shared" si="34"/>
        <v>2.9473617908896577E-2</v>
      </c>
      <c r="U285" s="24">
        <v>3.5119404101484841E-2</v>
      </c>
      <c r="V285" s="24">
        <f t="shared" si="35"/>
        <v>3.3448355217536641E-2</v>
      </c>
      <c r="W285" s="23">
        <f t="shared" si="36"/>
        <v>2.738702971057716E-3</v>
      </c>
      <c r="X285" s="24">
        <v>3.4238009792673996E-2</v>
      </c>
      <c r="Y285" s="24">
        <f t="shared" si="37"/>
        <v>3.2648485249221038E-2</v>
      </c>
      <c r="Z285" s="23">
        <f t="shared" si="38"/>
        <v>2.6732600313779109E-3</v>
      </c>
      <c r="AA285" s="36"/>
    </row>
    <row r="286" spans="4:27" ht="13.9" customHeight="1">
      <c r="D286" s="8"/>
      <c r="E286" s="9"/>
      <c r="F286" s="19"/>
      <c r="G286" s="19"/>
      <c r="H286" s="19"/>
      <c r="J286" s="45"/>
      <c r="K286" s="45"/>
      <c r="L286" s="45"/>
      <c r="M286" s="43"/>
      <c r="O286" s="12">
        <f t="shared" si="32"/>
        <v>22.75</v>
      </c>
      <c r="P286" s="13">
        <v>273</v>
      </c>
      <c r="Q286" s="22">
        <v>3.0735693123654428E-2</v>
      </c>
      <c r="R286" s="19">
        <f t="shared" si="33"/>
        <v>2.8132275608230284E-2</v>
      </c>
      <c r="S286" s="22">
        <v>3.0717610080557955E-2</v>
      </c>
      <c r="T286" s="19">
        <f t="shared" si="34"/>
        <v>2.9610464498287969E-2</v>
      </c>
      <c r="U286" s="24">
        <v>3.5113278115328717E-2</v>
      </c>
      <c r="V286" s="24">
        <f t="shared" si="35"/>
        <v>3.3536375149170183E-2</v>
      </c>
      <c r="W286" s="23">
        <f t="shared" si="36"/>
        <v>2.7455227406767424E-3</v>
      </c>
      <c r="X286" s="24">
        <v>3.4232182896012375E-2</v>
      </c>
      <c r="Y286" s="24">
        <f t="shared" si="37"/>
        <v>3.274598073325774E-2</v>
      </c>
      <c r="Z286" s="23">
        <f t="shared" si="38"/>
        <v>2.6808242410394367E-3</v>
      </c>
      <c r="AA286" s="36"/>
    </row>
    <row r="287" spans="4:27" ht="13.9" customHeight="1">
      <c r="D287" s="8"/>
      <c r="E287" s="9"/>
      <c r="F287" s="19"/>
      <c r="G287" s="19"/>
      <c r="H287" s="19"/>
      <c r="J287" s="45"/>
      <c r="K287" s="45"/>
      <c r="L287" s="45"/>
      <c r="M287" s="43"/>
      <c r="O287" s="12">
        <f t="shared" si="32"/>
        <v>22.833333333333332</v>
      </c>
      <c r="P287" s="13">
        <v>274</v>
      </c>
      <c r="Q287" s="22">
        <v>3.0726179624129379E-2</v>
      </c>
      <c r="R287" s="19">
        <f t="shared" si="33"/>
        <v>2.811187818580918E-2</v>
      </c>
      <c r="S287" s="22">
        <v>3.0713567239476491E-2</v>
      </c>
      <c r="T287" s="19">
        <f t="shared" si="34"/>
        <v>2.9752694640874378E-2</v>
      </c>
      <c r="U287" s="24">
        <v>3.5107518622873535E-2</v>
      </c>
      <c r="V287" s="24">
        <f t="shared" si="35"/>
        <v>3.3628074626527171E-2</v>
      </c>
      <c r="W287" s="23">
        <f t="shared" si="36"/>
        <v>2.7526395410029103E-3</v>
      </c>
      <c r="X287" s="24">
        <v>3.4226754913794011E-2</v>
      </c>
      <c r="Y287" s="24">
        <f t="shared" si="37"/>
        <v>3.2847491227539827E-2</v>
      </c>
      <c r="Z287" s="23">
        <f t="shared" si="38"/>
        <v>2.6887127451906689E-3</v>
      </c>
      <c r="AA287" s="36"/>
    </row>
    <row r="288" spans="4:27" ht="13.9" customHeight="1">
      <c r="D288" s="8"/>
      <c r="E288" s="9"/>
      <c r="F288" s="19"/>
      <c r="G288" s="19"/>
      <c r="H288" s="19"/>
      <c r="J288" s="45"/>
      <c r="K288" s="45"/>
      <c r="L288" s="45"/>
      <c r="M288" s="43"/>
      <c r="O288" s="12">
        <f t="shared" si="32"/>
        <v>22.916666666666668</v>
      </c>
      <c r="P288" s="13">
        <v>275</v>
      </c>
      <c r="Q288" s="22">
        <v>3.0716661040913529E-2</v>
      </c>
      <c r="R288" s="19">
        <f t="shared" si="33"/>
        <v>2.8091212097538509E-2</v>
      </c>
      <c r="S288" s="22">
        <v>3.0710071533552874E-2</v>
      </c>
      <c r="T288" s="19">
        <f t="shared" si="34"/>
        <v>2.9900306404142762E-2</v>
      </c>
      <c r="U288" s="24">
        <v>3.5102134992276213E-2</v>
      </c>
      <c r="V288" s="24">
        <f t="shared" si="35"/>
        <v>3.3723453784433088E-2</v>
      </c>
      <c r="W288" s="23">
        <f t="shared" si="36"/>
        <v>2.760053257971018E-3</v>
      </c>
      <c r="X288" s="24">
        <v>3.4221736074297571E-2</v>
      </c>
      <c r="Y288" s="24">
        <f t="shared" si="37"/>
        <v>3.2953016602533802E-2</v>
      </c>
      <c r="Z288" s="23">
        <f t="shared" si="38"/>
        <v>2.6969253844102425E-3</v>
      </c>
      <c r="AA288" s="36"/>
    </row>
    <row r="289" spans="4:27" ht="13.9" customHeight="1">
      <c r="D289" s="8"/>
      <c r="E289" s="9"/>
      <c r="F289" s="19"/>
      <c r="G289" s="19"/>
      <c r="H289" s="19"/>
      <c r="J289" s="45"/>
      <c r="K289" s="45"/>
      <c r="L289" s="45"/>
      <c r="M289" s="43"/>
      <c r="O289" s="12">
        <f t="shared" si="32"/>
        <v>23</v>
      </c>
      <c r="P289" s="13">
        <v>276</v>
      </c>
      <c r="Q289" s="22">
        <v>3.0707136452987172E-2</v>
      </c>
      <c r="R289" s="19">
        <f t="shared" si="33"/>
        <v>2.807027678035956E-2</v>
      </c>
      <c r="S289" s="22">
        <v>3.0707136452995387E-2</v>
      </c>
      <c r="T289" s="19">
        <f t="shared" si="34"/>
        <v>3.0052079207573579E-2</v>
      </c>
      <c r="U289" s="24">
        <v>3.5097136452983735E-2</v>
      </c>
      <c r="V289" s="24">
        <f t="shared" si="35"/>
        <v>3.3821711815132494E-2</v>
      </c>
      <c r="W289" s="23">
        <f t="shared" si="36"/>
        <v>2.7677638300023233E-3</v>
      </c>
      <c r="X289" s="24">
        <v>3.4217136452996177E-2</v>
      </c>
      <c r="Y289" s="24">
        <f t="shared" si="37"/>
        <v>3.3061675034731008E-2</v>
      </c>
      <c r="Z289" s="23">
        <f t="shared" si="38"/>
        <v>2.7054620605611035E-3</v>
      </c>
      <c r="AA289" s="36"/>
    </row>
    <row r="290" spans="4:27" ht="13.9" customHeight="1">
      <c r="D290" s="8"/>
      <c r="E290" s="9"/>
      <c r="F290" s="19"/>
      <c r="G290" s="19"/>
      <c r="H290" s="19"/>
      <c r="J290" s="45"/>
      <c r="K290" s="45"/>
      <c r="L290" s="45"/>
      <c r="M290" s="43"/>
      <c r="O290" s="12">
        <f t="shared" si="32"/>
        <v>23.083333333333332</v>
      </c>
      <c r="P290" s="13">
        <v>277</v>
      </c>
      <c r="Q290" s="22">
        <v>3.0697604950569835E-2</v>
      </c>
      <c r="R290" s="19">
        <f t="shared" si="33"/>
        <v>2.8049073851331929E-2</v>
      </c>
      <c r="S290" s="22">
        <v>3.0704770876317511E-2</v>
      </c>
      <c r="T290" s="19">
        <f t="shared" si="34"/>
        <v>3.0203142392736027E-2</v>
      </c>
      <c r="U290" s="24">
        <v>3.5092529203094802E-2</v>
      </c>
      <c r="V290" s="24">
        <f t="shared" si="35"/>
        <v>3.3919647726825097E-2</v>
      </c>
      <c r="W290" s="23">
        <f t="shared" si="36"/>
        <v>2.7757064518167951E-3</v>
      </c>
      <c r="X290" s="24">
        <v>3.4212962788640944E-2</v>
      </c>
      <c r="Y290" s="24">
        <f t="shared" si="37"/>
        <v>3.3169942804119223E-2</v>
      </c>
      <c r="Z290" s="23">
        <f t="shared" si="38"/>
        <v>2.7142513560034498E-3</v>
      </c>
      <c r="AA290" s="36"/>
    </row>
    <row r="291" spans="4:27" ht="13.9" customHeight="1">
      <c r="D291" s="8"/>
      <c r="E291" s="9"/>
      <c r="F291" s="19"/>
      <c r="G291" s="19"/>
      <c r="H291" s="19"/>
      <c r="J291" s="45"/>
      <c r="K291" s="45"/>
      <c r="L291" s="45"/>
      <c r="M291" s="43"/>
      <c r="O291" s="12">
        <f t="shared" si="32"/>
        <v>23.166666666666668</v>
      </c>
      <c r="P291" s="13">
        <v>278</v>
      </c>
      <c r="Q291" s="22">
        <v>3.0688065642780149E-2</v>
      </c>
      <c r="R291" s="19">
        <f t="shared" si="33"/>
        <v>2.8027602718922351E-2</v>
      </c>
      <c r="S291" s="22">
        <v>3.0702966019657829E-2</v>
      </c>
      <c r="T291" s="19">
        <f t="shared" si="34"/>
        <v>3.0352301328979481E-2</v>
      </c>
      <c r="U291" s="24">
        <v>3.5088307821469211E-2</v>
      </c>
      <c r="V291" s="24">
        <f t="shared" si="35"/>
        <v>3.4016472965882727E-2</v>
      </c>
      <c r="W291" s="23">
        <f t="shared" si="36"/>
        <v>2.7836223468005183E-3</v>
      </c>
      <c r="X291" s="24">
        <v>3.420920903182223E-2</v>
      </c>
      <c r="Y291" s="24">
        <f t="shared" si="37"/>
        <v>3.3276952647470992E-2</v>
      </c>
      <c r="Z291" s="23">
        <f t="shared" si="38"/>
        <v>2.7230082082148055E-3</v>
      </c>
      <c r="AA291" s="36"/>
    </row>
    <row r="292" spans="4:27" ht="13.9" customHeight="1">
      <c r="D292" s="8"/>
      <c r="E292" s="9"/>
      <c r="F292" s="19"/>
      <c r="G292" s="19"/>
      <c r="H292" s="19"/>
      <c r="J292" s="45"/>
      <c r="K292" s="45"/>
      <c r="L292" s="45"/>
      <c r="M292" s="43"/>
      <c r="O292" s="12">
        <f t="shared" si="32"/>
        <v>23.25</v>
      </c>
      <c r="P292" s="13">
        <v>279</v>
      </c>
      <c r="Q292" s="22">
        <v>3.067851764935936E-2</v>
      </c>
      <c r="R292" s="19">
        <f t="shared" si="33"/>
        <v>2.8005862047525198E-2</v>
      </c>
      <c r="S292" s="22">
        <v>3.0701708943881023E-2</v>
      </c>
      <c r="T292" s="19">
        <f t="shared" si="34"/>
        <v>3.0499583301068611E-2</v>
      </c>
      <c r="U292" s="24">
        <v>3.5084464136197369E-2</v>
      </c>
      <c r="V292" s="24">
        <f t="shared" si="35"/>
        <v>3.4112201519116203E-2</v>
      </c>
      <c r="W292" s="23">
        <f t="shared" si="36"/>
        <v>2.7914477934625204E-3</v>
      </c>
      <c r="X292" s="24">
        <v>3.4205866109575878E-2</v>
      </c>
      <c r="Y292" s="24">
        <f t="shared" si="37"/>
        <v>3.3382720876946603E-2</v>
      </c>
      <c r="Z292" s="23">
        <f t="shared" si="38"/>
        <v>2.7316624910331821E-3</v>
      </c>
      <c r="AA292" s="36"/>
    </row>
    <row r="293" spans="4:27" ht="13.9" customHeight="1">
      <c r="D293" s="8"/>
      <c r="E293" s="9"/>
      <c r="F293" s="19"/>
      <c r="G293" s="19"/>
      <c r="H293" s="19"/>
      <c r="J293" s="45"/>
      <c r="K293" s="45"/>
      <c r="L293" s="45"/>
      <c r="M293" s="43"/>
      <c r="O293" s="12">
        <f t="shared" si="32"/>
        <v>23.333333333333332</v>
      </c>
      <c r="P293" s="13">
        <v>280</v>
      </c>
      <c r="Q293" s="22">
        <v>3.066896009781761E-2</v>
      </c>
      <c r="R293" s="19">
        <f t="shared" si="33"/>
        <v>2.7983850486768658E-2</v>
      </c>
      <c r="S293" s="22">
        <v>3.0700986996047064E-2</v>
      </c>
      <c r="T293" s="19">
        <f t="shared" si="34"/>
        <v>3.064501512694906E-2</v>
      </c>
      <c r="U293" s="24">
        <v>3.5080990143705693E-2</v>
      </c>
      <c r="V293" s="24">
        <f t="shared" si="35"/>
        <v>3.4206847168035903E-2</v>
      </c>
      <c r="W293" s="23">
        <f t="shared" si="36"/>
        <v>2.7991839453138656E-3</v>
      </c>
      <c r="X293" s="24">
        <v>3.4202925138809404E-2</v>
      </c>
      <c r="Y293" s="24">
        <f t="shared" si="37"/>
        <v>3.3487263556261748E-2</v>
      </c>
      <c r="Z293" s="23">
        <f t="shared" si="38"/>
        <v>2.7402155526357053E-3</v>
      </c>
      <c r="AA293" s="36"/>
    </row>
    <row r="294" spans="4:27" ht="13.9" customHeight="1">
      <c r="D294" s="8"/>
      <c r="E294" s="9"/>
      <c r="F294" s="19"/>
      <c r="G294" s="19"/>
      <c r="H294" s="19"/>
      <c r="J294" s="45"/>
      <c r="K294" s="45"/>
      <c r="L294" s="45"/>
      <c r="M294" s="43"/>
      <c r="O294" s="12">
        <f t="shared" si="32"/>
        <v>23.416666666666668</v>
      </c>
      <c r="P294" s="13">
        <v>281</v>
      </c>
      <c r="Q294" s="22">
        <v>3.0659392123241203E-2</v>
      </c>
      <c r="R294" s="19">
        <f t="shared" si="33"/>
        <v>2.7961566673647464E-2</v>
      </c>
      <c r="S294" s="22">
        <v>3.0700787802511398E-2</v>
      </c>
      <c r="T294" s="19">
        <f t="shared" si="34"/>
        <v>3.078862316657105E-2</v>
      </c>
      <c r="U294" s="24">
        <v>3.5077878004976082E-2</v>
      </c>
      <c r="V294" s="24">
        <f t="shared" si="35"/>
        <v>3.4300423491561816E-2</v>
      </c>
      <c r="W294" s="23">
        <f t="shared" si="36"/>
        <v>2.8068319386245211E-3</v>
      </c>
      <c r="X294" s="24">
        <v>3.4200377421971018E-2</v>
      </c>
      <c r="Y294" s="24">
        <f t="shared" si="37"/>
        <v>3.35905965054768E-2</v>
      </c>
      <c r="Z294" s="23">
        <f t="shared" si="38"/>
        <v>2.7486687202697979E-3</v>
      </c>
      <c r="AA294" s="36"/>
    </row>
    <row r="295" spans="4:27" ht="13.9" customHeight="1">
      <c r="D295" s="8"/>
      <c r="E295" s="9"/>
      <c r="F295" s="19"/>
      <c r="G295" s="19"/>
      <c r="H295" s="19"/>
      <c r="J295" s="45"/>
      <c r="K295" s="45"/>
      <c r="L295" s="45"/>
      <c r="M295" s="43"/>
      <c r="O295" s="12">
        <f t="shared" si="32"/>
        <v>23.5</v>
      </c>
      <c r="P295" s="13">
        <v>282</v>
      </c>
      <c r="Q295" s="22">
        <v>3.0649812868112969E-2</v>
      </c>
      <c r="R295" s="19">
        <f t="shared" si="33"/>
        <v>2.7939009951831961E-2</v>
      </c>
      <c r="S295" s="22">
        <v>3.0701099262209652E-2</v>
      </c>
      <c r="T295" s="19">
        <f t="shared" si="34"/>
        <v>3.0930433332604368E-2</v>
      </c>
      <c r="U295" s="24">
        <v>3.5075120041857533E-2</v>
      </c>
      <c r="V295" s="24">
        <f t="shared" si="35"/>
        <v>3.4392943871102144E-2</v>
      </c>
      <c r="W295" s="23">
        <f t="shared" si="36"/>
        <v>2.8143928926593897E-3</v>
      </c>
      <c r="X295" s="24">
        <v>3.4198214442830777E-2</v>
      </c>
      <c r="Y295" s="24">
        <f t="shared" si="37"/>
        <v>3.369273530540684E-2</v>
      </c>
      <c r="Z295" s="23">
        <f t="shared" si="38"/>
        <v>2.7570233006655176E-3</v>
      </c>
      <c r="AA295" s="36"/>
    </row>
    <row r="296" spans="4:27" ht="13.9" customHeight="1">
      <c r="D296" s="8"/>
      <c r="E296" s="9"/>
      <c r="F296" s="19"/>
      <c r="G296" s="19"/>
      <c r="H296" s="19"/>
      <c r="J296" s="45"/>
      <c r="K296" s="45"/>
      <c r="L296" s="45"/>
      <c r="M296" s="43"/>
      <c r="O296" s="12">
        <f t="shared" si="32"/>
        <v>23.583333333333332</v>
      </c>
      <c r="P296" s="13">
        <v>283</v>
      </c>
      <c r="Q296" s="22">
        <v>3.0640221484684371E-2</v>
      </c>
      <c r="R296" s="19">
        <f t="shared" si="33"/>
        <v>2.7916181814735985E-2</v>
      </c>
      <c r="S296" s="22">
        <v>3.0701909540126859E-2</v>
      </c>
      <c r="T296" s="19">
        <f t="shared" si="34"/>
        <v>3.1070471098819885E-2</v>
      </c>
      <c r="U296" s="24">
        <v>3.5072708733475677E-2</v>
      </c>
      <c r="V296" s="24">
        <f t="shared" si="35"/>
        <v>3.4484421492035677E-2</v>
      </c>
      <c r="W296" s="23">
        <f t="shared" si="36"/>
        <v>2.8218679101077448E-3</v>
      </c>
      <c r="X296" s="24">
        <v>3.4196427862367651E-2</v>
      </c>
      <c r="Y296" s="24">
        <f t="shared" si="37"/>
        <v>3.3793695301888693E-2</v>
      </c>
      <c r="Z296" s="23">
        <f t="shared" si="38"/>
        <v>2.7652805804154745E-3</v>
      </c>
      <c r="AA296" s="36"/>
    </row>
    <row r="297" spans="4:27" ht="13.9" customHeight="1">
      <c r="D297" s="8"/>
      <c r="E297" s="9"/>
      <c r="F297" s="19"/>
      <c r="G297" s="19"/>
      <c r="H297" s="19"/>
      <c r="J297" s="45"/>
      <c r="K297" s="45"/>
      <c r="L297" s="45"/>
      <c r="M297" s="43"/>
      <c r="O297" s="12">
        <f t="shared" si="32"/>
        <v>23.666666666666668</v>
      </c>
      <c r="P297" s="13">
        <v>284</v>
      </c>
      <c r="Q297" s="22">
        <v>3.0630617142392236E-2</v>
      </c>
      <c r="R297" s="19">
        <f t="shared" si="33"/>
        <v>2.7893081578060697E-2</v>
      </c>
      <c r="S297" s="22">
        <v>3.0703207060938986E-2</v>
      </c>
      <c r="T297" s="19">
        <f t="shared" si="34"/>
        <v>3.1208761509629035E-2</v>
      </c>
      <c r="U297" s="24">
        <v>3.5070636712724257E-2</v>
      </c>
      <c r="V297" s="24">
        <f t="shared" si="35"/>
        <v>3.4574869348928061E-2</v>
      </c>
      <c r="W297" s="23">
        <f t="shared" si="36"/>
        <v>2.8292580772186771E-3</v>
      </c>
      <c r="X297" s="24">
        <v>3.4195009514762509E-2</v>
      </c>
      <c r="Y297" s="24">
        <f t="shared" si="37"/>
        <v>3.3893491610335724E-2</v>
      </c>
      <c r="Z297" s="23">
        <f t="shared" si="38"/>
        <v>2.7734418263420935E-3</v>
      </c>
      <c r="AA297" s="36"/>
    </row>
    <row r="298" spans="4:27" ht="13.9" customHeight="1">
      <c r="D298" s="8"/>
      <c r="E298" s="9"/>
      <c r="F298" s="19"/>
      <c r="G298" s="19"/>
      <c r="H298" s="19"/>
      <c r="J298" s="45"/>
      <c r="K298" s="45"/>
      <c r="L298" s="45"/>
      <c r="M298" s="43"/>
      <c r="O298" s="12">
        <f t="shared" si="32"/>
        <v>23.75</v>
      </c>
      <c r="P298" s="13">
        <v>285</v>
      </c>
      <c r="Q298" s="22">
        <v>3.0620999019895345E-2</v>
      </c>
      <c r="R298" s="19">
        <f t="shared" si="33"/>
        <v>2.7869707823975132E-2</v>
      </c>
      <c r="S298" s="22">
        <v>3.0704980502827217E-2</v>
      </c>
      <c r="T298" s="19">
        <f t="shared" si="34"/>
        <v>3.1345329188128268E-2</v>
      </c>
      <c r="U298" s="24">
        <v>3.5068896762851631E-2</v>
      </c>
      <c r="V298" s="24">
        <f t="shared" si="35"/>
        <v>3.4664300247648105E-2</v>
      </c>
      <c r="W298" s="23">
        <f t="shared" si="36"/>
        <v>2.8365644642407428E-3</v>
      </c>
      <c r="X298" s="24">
        <v>3.4193951403491463E-2</v>
      </c>
      <c r="Y298" s="24">
        <f t="shared" si="37"/>
        <v>3.3992139119298992E-2</v>
      </c>
      <c r="Z298" s="23">
        <f t="shared" si="38"/>
        <v>2.7815082858879681E-3</v>
      </c>
      <c r="AA298" s="36"/>
    </row>
    <row r="299" spans="4:27" ht="13.9" customHeight="1">
      <c r="D299" s="8"/>
      <c r="E299" s="9"/>
      <c r="F299" s="19"/>
      <c r="G299" s="19"/>
      <c r="H299" s="19"/>
      <c r="J299" s="45"/>
      <c r="K299" s="45"/>
      <c r="L299" s="45"/>
      <c r="M299" s="43"/>
      <c r="O299" s="12">
        <f t="shared" si="32"/>
        <v>23.833333333333332</v>
      </c>
      <c r="P299" s="13">
        <v>286</v>
      </c>
      <c r="Q299" s="22">
        <v>3.0611366302340848E-2</v>
      </c>
      <c r="R299" s="19">
        <f t="shared" si="33"/>
        <v>2.7846059120419264E-2</v>
      </c>
      <c r="S299" s="22">
        <v>3.0707218791453883E-2</v>
      </c>
      <c r="T299" s="19">
        <f t="shared" si="34"/>
        <v>3.1480198346061972E-2</v>
      </c>
      <c r="U299" s="24">
        <v>3.5067481814126999E-2</v>
      </c>
      <c r="V299" s="24">
        <f t="shared" si="35"/>
        <v>3.4752726809661683E-2</v>
      </c>
      <c r="W299" s="23">
        <f t="shared" si="36"/>
        <v>2.8437881256080377E-3</v>
      </c>
      <c r="X299" s="24">
        <v>3.4193245697517138E-2</v>
      </c>
      <c r="Y299" s="24">
        <f t="shared" si="37"/>
        <v>3.4089652495354006E-2</v>
      </c>
      <c r="Z299" s="23">
        <f t="shared" si="38"/>
        <v>2.7894811874260572E-3</v>
      </c>
      <c r="AA299" s="36"/>
    </row>
    <row r="300" spans="4:27" ht="13.9" customHeight="1">
      <c r="D300" s="8"/>
      <c r="E300" s="9"/>
      <c r="F300" s="19"/>
      <c r="G300" s="19"/>
      <c r="H300" s="19"/>
      <c r="J300" s="45"/>
      <c r="K300" s="45"/>
      <c r="L300" s="45"/>
      <c r="M300" s="43"/>
      <c r="O300" s="12">
        <f t="shared" si="32"/>
        <v>23.916666666666668</v>
      </c>
      <c r="P300" s="13">
        <v>287</v>
      </c>
      <c r="Q300" s="22">
        <v>3.0601718181200832E-2</v>
      </c>
      <c r="R300" s="19">
        <f t="shared" si="33"/>
        <v>2.7822134022626788E-2</v>
      </c>
      <c r="S300" s="22">
        <v>3.0709911094103148E-2</v>
      </c>
      <c r="T300" s="19">
        <f t="shared" si="34"/>
        <v>3.1613392791118411E-2</v>
      </c>
      <c r="U300" s="24">
        <v>3.506638494059211E-2</v>
      </c>
      <c r="V300" s="24">
        <f t="shared" si="35"/>
        <v>3.4840161474029241E-2</v>
      </c>
      <c r="W300" s="23">
        <f t="shared" si="36"/>
        <v>2.8509301003030174E-3</v>
      </c>
      <c r="X300" s="24">
        <v>3.4192884727576978E-2</v>
      </c>
      <c r="Y300" s="24">
        <f t="shared" si="37"/>
        <v>3.4186046186590158E-2</v>
      </c>
      <c r="Z300" s="23">
        <f t="shared" si="38"/>
        <v>2.7973617406744644E-3</v>
      </c>
      <c r="AA300" s="36"/>
    </row>
    <row r="301" spans="4:27" ht="13.9" customHeight="1">
      <c r="D301" s="8"/>
      <c r="E301" s="9"/>
      <c r="F301" s="19"/>
      <c r="G301" s="19"/>
      <c r="H301" s="19"/>
      <c r="J301" s="45"/>
      <c r="K301" s="45"/>
      <c r="L301" s="45"/>
      <c r="M301" s="43"/>
      <c r="O301" s="12">
        <f t="shared" si="32"/>
        <v>24</v>
      </c>
      <c r="P301" s="13">
        <v>288</v>
      </c>
      <c r="Q301" s="22">
        <v>3.0592053854117118E-2</v>
      </c>
      <c r="R301" s="19">
        <f t="shared" si="33"/>
        <v>2.7797931782526319E-2</v>
      </c>
      <c r="S301" s="22">
        <v>3.0713046813974243E-2</v>
      </c>
      <c r="T301" s="19">
        <f t="shared" si="34"/>
        <v>3.1744935935228646E-2</v>
      </c>
      <c r="U301" s="24">
        <v>3.5065599356890909E-2</v>
      </c>
      <c r="V301" s="24">
        <f t="shared" si="35"/>
        <v>3.4926616501973928E-2</v>
      </c>
      <c r="W301" s="23">
        <f t="shared" si="36"/>
        <v>2.8579914120336891E-3</v>
      </c>
      <c r="X301" s="24">
        <v>3.4192860982564799E-2</v>
      </c>
      <c r="Y301" s="24">
        <f t="shared" si="37"/>
        <v>3.4281334426790488E-2</v>
      </c>
      <c r="Z301" s="23">
        <f t="shared" si="38"/>
        <v>2.8051511369990845E-3</v>
      </c>
      <c r="AA301" s="36"/>
    </row>
    <row r="302" spans="4:27" ht="13.9" customHeight="1">
      <c r="D302" s="8"/>
      <c r="E302" s="9"/>
      <c r="F302" s="19"/>
      <c r="G302" s="19"/>
      <c r="H302" s="19"/>
      <c r="J302" s="45"/>
      <c r="K302" s="45"/>
      <c r="L302" s="45"/>
      <c r="M302" s="43"/>
      <c r="O302" s="12">
        <f t="shared" si="32"/>
        <v>24.083333333333332</v>
      </c>
      <c r="P302" s="13">
        <v>289</v>
      </c>
      <c r="Q302" s="22">
        <v>3.0582372527211188E-2</v>
      </c>
      <c r="R302" s="19">
        <f t="shared" si="33"/>
        <v>2.7773453770776335E-2</v>
      </c>
      <c r="S302" s="22">
        <v>3.0716615584624796E-2</v>
      </c>
      <c r="T302" s="19">
        <f t="shared" si="34"/>
        <v>3.1874850802928067E-2</v>
      </c>
      <c r="U302" s="24">
        <v>3.506511841518023E-2</v>
      </c>
      <c r="V302" s="24">
        <f t="shared" si="35"/>
        <v>3.5012103978664832E-2</v>
      </c>
      <c r="W302" s="23">
        <f t="shared" si="36"/>
        <v>2.8649730696166387E-3</v>
      </c>
      <c r="X302" s="24">
        <v>3.4193167106001399E-2</v>
      </c>
      <c r="Y302" s="24">
        <f t="shared" si="37"/>
        <v>3.4375531238830304E-2</v>
      </c>
      <c r="Z302" s="23">
        <f t="shared" si="38"/>
        <v>2.8128505497710954E-3</v>
      </c>
      <c r="AA302" s="36"/>
    </row>
    <row r="303" spans="4:27" ht="13.9" customHeight="1">
      <c r="D303" s="8"/>
      <c r="E303" s="9"/>
      <c r="F303" s="19"/>
      <c r="G303" s="19"/>
      <c r="H303" s="19"/>
      <c r="J303" s="45"/>
      <c r="K303" s="45"/>
      <c r="L303" s="45"/>
      <c r="M303" s="43"/>
      <c r="O303" s="12">
        <f t="shared" si="32"/>
        <v>24.166666666666668</v>
      </c>
      <c r="P303" s="13">
        <v>290</v>
      </c>
      <c r="Q303" s="22">
        <v>3.0572673422262664E-2</v>
      </c>
      <c r="R303" s="19">
        <f t="shared" si="33"/>
        <v>2.7748699212055916E-2</v>
      </c>
      <c r="S303" s="22">
        <v>3.072060726456205E-2</v>
      </c>
      <c r="T303" s="19">
        <f t="shared" si="34"/>
        <v>3.2003160039245637E-2</v>
      </c>
      <c r="U303" s="24">
        <v>3.5064935602112879E-2</v>
      </c>
      <c r="V303" s="24">
        <f t="shared" si="35"/>
        <v>3.5096635816860955E-2</v>
      </c>
      <c r="W303" s="23">
        <f t="shared" si="36"/>
        <v>2.8718760671360144E-3</v>
      </c>
      <c r="X303" s="24">
        <v>3.4193795892593082E-2</v>
      </c>
      <c r="Y303" s="24">
        <f t="shared" si="37"/>
        <v>3.4468650438972848E-2</v>
      </c>
      <c r="Z303" s="23">
        <f t="shared" si="38"/>
        <v>2.8204611346611674E-3</v>
      </c>
      <c r="AA303" s="36"/>
    </row>
    <row r="304" spans="4:27" ht="13.9" customHeight="1">
      <c r="D304" s="8"/>
      <c r="E304" s="9"/>
      <c r="F304" s="19"/>
      <c r="G304" s="19"/>
      <c r="H304" s="19"/>
      <c r="J304" s="45"/>
      <c r="K304" s="45"/>
      <c r="L304" s="45"/>
      <c r="M304" s="43"/>
      <c r="O304" s="12">
        <f t="shared" si="32"/>
        <v>24.25</v>
      </c>
      <c r="P304" s="13">
        <v>291</v>
      </c>
      <c r="Q304" s="22">
        <v>3.0562955769045885E-2</v>
      </c>
      <c r="R304" s="19">
        <f t="shared" si="33"/>
        <v>2.7723666607408326E-2</v>
      </c>
      <c r="S304" s="22">
        <v>3.0725011931976631E-2</v>
      </c>
      <c r="T304" s="19">
        <f t="shared" si="34"/>
        <v>3.2129885916656331E-2</v>
      </c>
      <c r="U304" s="24">
        <v>3.5065044535896428E-2</v>
      </c>
      <c r="V304" s="24">
        <f t="shared" si="35"/>
        <v>3.5180223760201246E-2</v>
      </c>
      <c r="W304" s="23">
        <f t="shared" si="36"/>
        <v>2.8787013842521691E-3</v>
      </c>
      <c r="X304" s="24">
        <v>3.4194740284877234E-2</v>
      </c>
      <c r="Y304" s="24">
        <f t="shared" si="37"/>
        <v>3.4560705640352962E-2</v>
      </c>
      <c r="Z304" s="23">
        <f t="shared" si="38"/>
        <v>2.8279840300036163E-3</v>
      </c>
      <c r="AA304" s="36"/>
    </row>
    <row r="305" spans="4:27" ht="13.9" customHeight="1">
      <c r="D305" s="8"/>
      <c r="E305" s="9"/>
      <c r="F305" s="19"/>
      <c r="G305" s="19"/>
      <c r="H305" s="19"/>
      <c r="J305" s="45"/>
      <c r="K305" s="45"/>
      <c r="L305" s="45"/>
      <c r="M305" s="43"/>
      <c r="O305" s="12">
        <f t="shared" si="32"/>
        <v>24.333333333333332</v>
      </c>
      <c r="P305" s="13">
        <v>292</v>
      </c>
      <c r="Q305" s="22">
        <v>3.055321880270645E-2</v>
      </c>
      <c r="R305" s="19">
        <f t="shared" si="33"/>
        <v>2.7698354443928874E-2</v>
      </c>
      <c r="S305" s="22">
        <v>3.0729819879611542E-2</v>
      </c>
      <c r="T305" s="19">
        <f t="shared" si="34"/>
        <v>3.2255050343024783E-2</v>
      </c>
      <c r="U305" s="24">
        <v>3.5065438963424844E-2</v>
      </c>
      <c r="V305" s="24">
        <f t="shared" si="35"/>
        <v>3.5262879385012047E-2</v>
      </c>
      <c r="W305" s="23">
        <f t="shared" si="36"/>
        <v>2.8854499864803262E-3</v>
      </c>
      <c r="X305" s="24">
        <v>3.4195993369950051E-2</v>
      </c>
      <c r="Y305" s="24">
        <f t="shared" si="37"/>
        <v>3.4651710256454749E-2</v>
      </c>
      <c r="Z305" s="23">
        <f t="shared" si="38"/>
        <v>2.8354203570979397E-3</v>
      </c>
      <c r="AA305" s="36"/>
    </row>
    <row r="306" spans="4:27" ht="13.9" customHeight="1">
      <c r="D306" s="8"/>
      <c r="E306" s="9"/>
      <c r="F306" s="19"/>
      <c r="G306" s="19"/>
      <c r="H306" s="19"/>
      <c r="J306" s="45"/>
      <c r="K306" s="45"/>
      <c r="L306" s="45"/>
      <c r="M306" s="43"/>
      <c r="O306" s="12">
        <f t="shared" si="32"/>
        <v>24.416666666666668</v>
      </c>
      <c r="P306" s="13">
        <v>293</v>
      </c>
      <c r="Q306" s="22">
        <v>3.0543461763621549E-2</v>
      </c>
      <c r="R306" s="19">
        <f t="shared" si="33"/>
        <v>2.7672761195892015E-2</v>
      </c>
      <c r="S306" s="22">
        <v>3.07350216097666E-2</v>
      </c>
      <c r="T306" s="19">
        <f t="shared" si="34"/>
        <v>3.2378674868944746E-2</v>
      </c>
      <c r="U306" s="24">
        <v>3.5066112757476731E-2</v>
      </c>
      <c r="V306" s="24">
        <f t="shared" si="35"/>
        <v>3.5344614104457994E-2</v>
      </c>
      <c r="W306" s="23">
        <f t="shared" si="36"/>
        <v>2.8921228253502296E-3</v>
      </c>
      <c r="X306" s="24">
        <v>3.4197548376274423E-2</v>
      </c>
      <c r="Y306" s="24">
        <f t="shared" si="37"/>
        <v>3.4741677504358526E-2</v>
      </c>
      <c r="Z306" s="23">
        <f t="shared" si="38"/>
        <v>2.8427712205054689E-3</v>
      </c>
      <c r="AA306" s="36"/>
    </row>
    <row r="307" spans="4:27" ht="13.9" customHeight="1">
      <c r="D307" s="8"/>
      <c r="E307" s="9"/>
      <c r="F307" s="19"/>
      <c r="G307" s="19"/>
      <c r="H307" s="19"/>
      <c r="J307" s="45"/>
      <c r="K307" s="45"/>
      <c r="L307" s="45"/>
      <c r="M307" s="43"/>
      <c r="O307" s="12">
        <f t="shared" si="32"/>
        <v>24.5</v>
      </c>
      <c r="P307" s="13">
        <v>294</v>
      </c>
      <c r="Q307" s="22">
        <v>3.0533683897265851E-2</v>
      </c>
      <c r="R307" s="19">
        <f t="shared" si="33"/>
        <v>2.7646886024943695E-2</v>
      </c>
      <c r="S307" s="22">
        <v>3.074060782943322E-2</v>
      </c>
      <c r="T307" s="19">
        <f t="shared" si="34"/>
        <v>3.2500780694052267E-2</v>
      </c>
      <c r="U307" s="24">
        <v>3.5067059913985066E-2</v>
      </c>
      <c r="V307" s="24">
        <f t="shared" si="35"/>
        <v>3.5425439170009732E-2</v>
      </c>
      <c r="W307" s="23">
        <f t="shared" si="36"/>
        <v>2.8987208387543095E-3</v>
      </c>
      <c r="X307" s="24">
        <v>3.4199398670566206E-2</v>
      </c>
      <c r="Y307" s="24">
        <f t="shared" si="37"/>
        <v>3.4830620408903945E-2</v>
      </c>
      <c r="Z307" s="23">
        <f t="shared" si="38"/>
        <v>2.8500377083298112E-3</v>
      </c>
      <c r="AA307" s="36"/>
    </row>
    <row r="308" spans="4:27" ht="13.9" customHeight="1">
      <c r="D308" s="8"/>
      <c r="E308" s="9"/>
      <c r="F308" s="19"/>
      <c r="G308" s="19"/>
      <c r="H308" s="19"/>
      <c r="J308" s="45"/>
      <c r="K308" s="45"/>
      <c r="L308" s="45"/>
      <c r="M308" s="43"/>
      <c r="O308" s="12">
        <f t="shared" si="32"/>
        <v>24.583333333333332</v>
      </c>
      <c r="P308" s="13">
        <v>295</v>
      </c>
      <c r="Q308" s="22">
        <v>3.0523884456461259E-2</v>
      </c>
      <c r="R308" s="19">
        <f t="shared" si="33"/>
        <v>2.7620730180948794E-2</v>
      </c>
      <c r="S308" s="22">
        <v>3.0746569445552652E-2</v>
      </c>
      <c r="T308" s="19">
        <f t="shared" si="34"/>
        <v>3.2621388675263985E-2</v>
      </c>
      <c r="U308" s="24">
        <v>3.5068274549369338E-2</v>
      </c>
      <c r="V308" s="24">
        <f t="shared" si="35"/>
        <v>3.5505365675484235E-2</v>
      </c>
      <c r="W308" s="23">
        <f t="shared" si="36"/>
        <v>2.9052449510784673E-3</v>
      </c>
      <c r="X308" s="24">
        <v>3.4201537754758649E-2</v>
      </c>
      <c r="Y308" s="24">
        <f t="shared" si="37"/>
        <v>3.4918551805812825E-2</v>
      </c>
      <c r="Z308" s="23">
        <f t="shared" si="38"/>
        <v>2.8572208925694564E-3</v>
      </c>
      <c r="AA308" s="36"/>
    </row>
    <row r="309" spans="4:27" ht="13.9" customHeight="1">
      <c r="D309" s="8"/>
      <c r="E309" s="9"/>
      <c r="F309" s="19"/>
      <c r="G309" s="19"/>
      <c r="H309" s="19"/>
      <c r="J309" s="45"/>
      <c r="K309" s="45"/>
      <c r="L309" s="45"/>
      <c r="M309" s="43"/>
      <c r="O309" s="12">
        <f t="shared" si="32"/>
        <v>24.666666666666668</v>
      </c>
      <c r="P309" s="13">
        <v>296</v>
      </c>
      <c r="Q309" s="22">
        <v>3.0514062708326684E-2</v>
      </c>
      <c r="R309" s="19">
        <f t="shared" si="33"/>
        <v>2.7594292797984199E-2</v>
      </c>
      <c r="S309" s="22">
        <v>3.0752897560401005E-2</v>
      </c>
      <c r="T309" s="19">
        <f t="shared" si="34"/>
        <v>3.2740519331885043E-2</v>
      </c>
      <c r="U309" s="24">
        <v>3.5069750897936292E-2</v>
      </c>
      <c r="V309" s="24">
        <f t="shared" si="35"/>
        <v>3.5584404558440141E-2</v>
      </c>
      <c r="W309" s="23">
        <f t="shared" si="36"/>
        <v>2.9116960735409148E-3</v>
      </c>
      <c r="X309" s="24">
        <v>3.4203959263040096E-2</v>
      </c>
      <c r="Y309" s="24">
        <f t="shared" si="37"/>
        <v>3.5005484344127868E-2</v>
      </c>
      <c r="Z309" s="23">
        <f t="shared" si="38"/>
        <v>2.8643218293855632E-3</v>
      </c>
      <c r="AA309" s="36"/>
    </row>
    <row r="310" spans="4:27" ht="13.9" customHeight="1">
      <c r="D310" s="8"/>
      <c r="E310" s="9"/>
      <c r="F310" s="19"/>
      <c r="G310" s="19"/>
      <c r="H310" s="19"/>
      <c r="J310" s="45"/>
      <c r="K310" s="45"/>
      <c r="L310" s="45"/>
      <c r="M310" s="43"/>
      <c r="O310" s="12">
        <f t="shared" si="32"/>
        <v>24.75</v>
      </c>
      <c r="P310" s="13">
        <v>297</v>
      </c>
      <c r="Q310" s="22">
        <v>3.0504217926892618E-2</v>
      </c>
      <c r="R310" s="19">
        <f t="shared" si="33"/>
        <v>2.756757229699125E-2</v>
      </c>
      <c r="S310" s="22">
        <v>3.0759583467087515E-2</v>
      </c>
      <c r="T310" s="19">
        <f t="shared" si="34"/>
        <v>3.2858192853775448E-2</v>
      </c>
      <c r="U310" s="24">
        <v>3.5071483309338181E-2</v>
      </c>
      <c r="V310" s="24">
        <f t="shared" si="35"/>
        <v>3.5662566603787083E-2</v>
      </c>
      <c r="W310" s="23">
        <f t="shared" si="36"/>
        <v>2.9180751043160758E-3</v>
      </c>
      <c r="X310" s="24">
        <v>3.42066569589623E-2</v>
      </c>
      <c r="Y310" s="24">
        <f t="shared" si="37"/>
        <v>3.5091430490883369E-2</v>
      </c>
      <c r="Z310" s="23">
        <f t="shared" si="38"/>
        <v>2.8713415593155656E-3</v>
      </c>
      <c r="AA310" s="36"/>
    </row>
    <row r="311" spans="4:27" ht="13.9" customHeight="1">
      <c r="D311" s="8"/>
      <c r="E311" s="9"/>
      <c r="F311" s="19"/>
      <c r="G311" s="19"/>
      <c r="H311" s="19"/>
      <c r="J311" s="45"/>
      <c r="K311" s="45"/>
      <c r="L311" s="45"/>
      <c r="M311" s="43"/>
      <c r="O311" s="12">
        <f t="shared" si="32"/>
        <v>24.833333333333332</v>
      </c>
      <c r="P311" s="13">
        <v>298</v>
      </c>
      <c r="Q311" s="22">
        <v>3.0494349390584485E-2</v>
      </c>
      <c r="R311" s="19">
        <f t="shared" si="33"/>
        <v>2.7540567085562406E-2</v>
      </c>
      <c r="S311" s="22">
        <v>3.076661864517316E-2</v>
      </c>
      <c r="T311" s="19">
        <f t="shared" si="34"/>
        <v>3.2974429106413794E-2</v>
      </c>
      <c r="U311" s="24">
        <v>3.507346624609653E-2</v>
      </c>
      <c r="V311" s="24">
        <f t="shared" si="35"/>
        <v>3.5739862445710591E-2</v>
      </c>
      <c r="W311" s="23">
        <f t="shared" si="36"/>
        <v>2.9243829288383427E-3</v>
      </c>
      <c r="X311" s="24">
        <v>3.4209624732621791E-2</v>
      </c>
      <c r="Y311" s="24">
        <f t="shared" si="37"/>
        <v>3.517640253311427E-2</v>
      </c>
      <c r="Z311" s="23">
        <f t="shared" si="38"/>
        <v>2.8782811076641934E-3</v>
      </c>
      <c r="AA311" s="36"/>
    </row>
    <row r="312" spans="4:27" ht="13.9" customHeight="1">
      <c r="D312" s="8"/>
      <c r="E312" s="9"/>
      <c r="F312" s="19"/>
      <c r="G312" s="19"/>
      <c r="H312" s="19"/>
      <c r="J312" s="45"/>
      <c r="K312" s="45"/>
      <c r="L312" s="45"/>
      <c r="M312" s="43"/>
      <c r="O312" s="12">
        <f t="shared" si="32"/>
        <v>24.916666666666668</v>
      </c>
      <c r="P312" s="13">
        <v>299</v>
      </c>
      <c r="Q312" s="22">
        <v>3.0484456382104286E-2</v>
      </c>
      <c r="R312" s="19">
        <f t="shared" si="33"/>
        <v>2.751327555839489E-2</v>
      </c>
      <c r="S312" s="22">
        <v>3.0773994756398304E-2</v>
      </c>
      <c r="T312" s="19">
        <f t="shared" si="34"/>
        <v>3.3089247638322217E-2</v>
      </c>
      <c r="U312" s="24">
        <v>3.5075694281182068E-2</v>
      </c>
      <c r="V312" s="24">
        <f t="shared" si="35"/>
        <v>3.5816302570391034E-2</v>
      </c>
      <c r="W312" s="23">
        <f t="shared" si="36"/>
        <v>2.9306204199681662E-3</v>
      </c>
      <c r="X312" s="24">
        <v>3.4212856597907626E-2</v>
      </c>
      <c r="Y312" s="24">
        <f t="shared" si="37"/>
        <v>3.5260412581677558E-2</v>
      </c>
      <c r="Z312" s="23">
        <f t="shared" si="38"/>
        <v>2.8851414846817747E-3</v>
      </c>
      <c r="AA312" s="36"/>
    </row>
    <row r="313" spans="4:27" ht="13.9" customHeight="1">
      <c r="D313" s="8"/>
      <c r="E313" s="9"/>
      <c r="F313" s="19"/>
      <c r="G313" s="19"/>
      <c r="H313" s="19"/>
      <c r="J313" s="45"/>
      <c r="K313" s="45"/>
      <c r="L313" s="45"/>
      <c r="M313" s="43"/>
      <c r="O313" s="12">
        <f t="shared" si="32"/>
        <v>25</v>
      </c>
      <c r="P313" s="13">
        <v>300</v>
      </c>
      <c r="Q313" s="22">
        <v>3.0474538188314026E-2</v>
      </c>
      <c r="R313" s="19">
        <f t="shared" si="33"/>
        <v>2.7485696787961533E-2</v>
      </c>
      <c r="S313" s="22">
        <v>3.0781703640520908E-2</v>
      </c>
      <c r="T313" s="19">
        <f t="shared" si="34"/>
        <v>3.3202667686173859E-2</v>
      </c>
      <c r="U313" s="24">
        <v>3.5078162095653065E-2</v>
      </c>
      <c r="V313" s="24">
        <f t="shared" si="35"/>
        <v>3.5891897318765187E-2</v>
      </c>
      <c r="W313" s="23">
        <f t="shared" si="36"/>
        <v>2.9367884382227594E-3</v>
      </c>
      <c r="X313" s="24">
        <v>3.4216346689816879E-2</v>
      </c>
      <c r="Y313" s="24">
        <f t="shared" si="37"/>
        <v>3.5343472573422963E-2</v>
      </c>
      <c r="Z313" s="23">
        <f t="shared" si="38"/>
        <v>2.8919236858866437E-3</v>
      </c>
      <c r="AA313" s="36"/>
    </row>
    <row r="314" spans="4:27" ht="13.9" customHeight="1">
      <c r="D314" s="8"/>
      <c r="E314" s="9"/>
      <c r="F314" s="19"/>
      <c r="G314" s="19"/>
      <c r="H314" s="19"/>
      <c r="J314" s="45"/>
      <c r="K314" s="45"/>
      <c r="L314" s="45"/>
      <c r="M314" s="43"/>
      <c r="O314" s="12">
        <f t="shared" si="32"/>
        <v>25.083333333333332</v>
      </c>
      <c r="P314" s="13">
        <v>301</v>
      </c>
      <c r="Q314" s="22">
        <v>3.0464594102425302E-2</v>
      </c>
      <c r="R314" s="19">
        <f t="shared" si="33"/>
        <v>2.7457831903925145E-2</v>
      </c>
      <c r="S314" s="22">
        <v>3.0789737311258669E-2</v>
      </c>
      <c r="T314" s="19">
        <f t="shared" si="34"/>
        <v>3.3314708181698904E-2</v>
      </c>
      <c r="U314" s="24">
        <v>3.5080864476351392E-2</v>
      </c>
      <c r="V314" s="24">
        <f t="shared" si="35"/>
        <v>3.5966656888435811E-2</v>
      </c>
      <c r="W314" s="23">
        <f t="shared" si="36"/>
        <v>2.9428878320092444E-3</v>
      </c>
      <c r="X314" s="24">
        <v>3.4220089261832731E-2</v>
      </c>
      <c r="Y314" s="24">
        <f t="shared" si="37"/>
        <v>3.5425594275482863E-2</v>
      </c>
      <c r="Z314" s="23">
        <f t="shared" si="38"/>
        <v>2.8986286922541016E-3</v>
      </c>
      <c r="AA314" s="36"/>
    </row>
    <row r="315" spans="4:27" ht="13.9" customHeight="1">
      <c r="D315" s="8"/>
      <c r="E315" s="9"/>
      <c r="F315" s="19"/>
      <c r="G315" s="19"/>
      <c r="H315" s="19"/>
      <c r="J315" s="45"/>
      <c r="K315" s="45"/>
      <c r="L315" s="45"/>
      <c r="M315" s="43"/>
      <c r="O315" s="12">
        <f t="shared" si="32"/>
        <v>25.166666666666668</v>
      </c>
      <c r="P315" s="13">
        <v>302</v>
      </c>
      <c r="Q315" s="22">
        <v>3.0454623430723915E-2</v>
      </c>
      <c r="R315" s="19">
        <f t="shared" si="33"/>
        <v>2.7429679951903152E-2</v>
      </c>
      <c r="S315" s="22">
        <v>3.0798087952336406E-2</v>
      </c>
      <c r="T315" s="19">
        <f t="shared" si="34"/>
        <v>3.3425387756674807E-2</v>
      </c>
      <c r="U315" s="24">
        <v>3.5083796313650328E-2</v>
      </c>
      <c r="V315" s="24">
        <f t="shared" si="35"/>
        <v>3.6040591335709138E-2</v>
      </c>
      <c r="W315" s="23">
        <f t="shared" si="36"/>
        <v>2.9489194377898542E-3</v>
      </c>
      <c r="X315" s="24">
        <v>3.4224078683369186E-2</v>
      </c>
      <c r="Y315" s="24">
        <f t="shared" si="37"/>
        <v>3.5506789286666951E-2</v>
      </c>
      <c r="Z315" s="23">
        <f t="shared" si="38"/>
        <v>2.9052574705765721E-3</v>
      </c>
      <c r="AA315" s="36"/>
    </row>
    <row r="316" spans="4:27" ht="13.9" customHeight="1">
      <c r="D316" s="8"/>
      <c r="E316" s="9"/>
      <c r="F316" s="19"/>
      <c r="G316" s="19"/>
      <c r="H316" s="19"/>
      <c r="J316" s="45"/>
      <c r="K316" s="45"/>
      <c r="L316" s="45"/>
      <c r="M316" s="43"/>
      <c r="O316" s="12">
        <f t="shared" si="32"/>
        <v>25.25</v>
      </c>
      <c r="P316" s="13">
        <v>303</v>
      </c>
      <c r="Q316" s="22">
        <v>3.0444625485456456E-2</v>
      </c>
      <c r="R316" s="19">
        <f t="shared" si="33"/>
        <v>2.7401239273745714E-2</v>
      </c>
      <c r="S316" s="22">
        <v>3.080674791363025E-2</v>
      </c>
      <c r="T316" s="19">
        <f t="shared" si="34"/>
        <v>3.3534724749727518E-2</v>
      </c>
      <c r="U316" s="24">
        <v>3.5086952599256538E-2</v>
      </c>
      <c r="V316" s="24">
        <f t="shared" si="35"/>
        <v>3.6113710579619651E-2</v>
      </c>
      <c r="W316" s="23">
        <f t="shared" si="36"/>
        <v>2.9548840802553489E-3</v>
      </c>
      <c r="X316" s="24">
        <v>3.4228309437272397E-2</v>
      </c>
      <c r="Y316" s="24">
        <f t="shared" si="37"/>
        <v>3.558706904170239E-2</v>
      </c>
      <c r="Z316" s="23">
        <f t="shared" si="38"/>
        <v>2.9118109735897235E-3</v>
      </c>
      <c r="AA316" s="36"/>
    </row>
    <row r="317" spans="4:27" ht="13.9" customHeight="1">
      <c r="D317" s="8"/>
      <c r="E317" s="9"/>
      <c r="F317" s="19"/>
      <c r="G317" s="19"/>
      <c r="H317" s="19"/>
      <c r="J317" s="45"/>
      <c r="K317" s="45"/>
      <c r="L317" s="45"/>
      <c r="M317" s="43"/>
      <c r="O317" s="12">
        <f t="shared" si="32"/>
        <v>25.333333333333332</v>
      </c>
      <c r="P317" s="13">
        <v>304</v>
      </c>
      <c r="Q317" s="22">
        <v>3.043459958240935E-2</v>
      </c>
      <c r="R317" s="19">
        <f t="shared" si="33"/>
        <v>2.7372508198118206E-2</v>
      </c>
      <c r="S317" s="22">
        <v>3.0815709707413097E-2</v>
      </c>
      <c r="T317" s="19">
        <f t="shared" si="34"/>
        <v>3.3642737210374474E-2</v>
      </c>
      <c r="U317" s="24">
        <v>3.5090328424066897E-2</v>
      </c>
      <c r="V317" s="24">
        <f t="shared" si="35"/>
        <v>3.6186024401628547E-2</v>
      </c>
      <c r="W317" s="23">
        <f t="shared" si="36"/>
        <v>2.9607825726607473E-3</v>
      </c>
      <c r="X317" s="24">
        <v>3.4232776117386621E-2</v>
      </c>
      <c r="Y317" s="24">
        <f t="shared" si="37"/>
        <v>3.5666444812720632E-2</v>
      </c>
      <c r="Z317" s="23">
        <f t="shared" si="38"/>
        <v>2.9182901403270733E-3</v>
      </c>
      <c r="AA317" s="36"/>
    </row>
    <row r="318" spans="4:27" ht="13.9" customHeight="1">
      <c r="D318" s="8"/>
      <c r="E318" s="9"/>
      <c r="F318" s="19"/>
      <c r="G318" s="19"/>
      <c r="H318" s="19"/>
      <c r="J318" s="45"/>
      <c r="K318" s="45"/>
      <c r="L318" s="45"/>
      <c r="M318" s="43"/>
      <c r="O318" s="12">
        <f t="shared" si="32"/>
        <v>25.416666666666668</v>
      </c>
      <c r="P318" s="13">
        <v>305</v>
      </c>
      <c r="Q318" s="22">
        <v>3.0424545040806494E-2</v>
      </c>
      <c r="R318" s="19">
        <f t="shared" si="33"/>
        <v>2.7343485041566362E-2</v>
      </c>
      <c r="S318" s="22">
        <v>3.0824966004688203E-2</v>
      </c>
      <c r="T318" s="19">
        <f t="shared" si="34"/>
        <v>3.3749442906344296E-2</v>
      </c>
      <c r="U318" s="24">
        <v>3.5093918976069505E-2</v>
      </c>
      <c r="V318" s="24">
        <f t="shared" si="35"/>
        <v>3.625754245056223E-2</v>
      </c>
      <c r="W318" s="23">
        <f t="shared" si="36"/>
        <v>2.9666157168102281E-3</v>
      </c>
      <c r="X318" s="24">
        <v>3.4237473426173004E-2</v>
      </c>
      <c r="Y318" s="24">
        <f t="shared" si="37"/>
        <v>3.5744927713380337E-2</v>
      </c>
      <c r="Z318" s="23">
        <f t="shared" si="38"/>
        <v>2.9246958962525493E-3</v>
      </c>
      <c r="AA318" s="36"/>
    </row>
    <row r="319" spans="4:27" ht="13.9" customHeight="1">
      <c r="D319" s="8"/>
      <c r="E319" s="9"/>
      <c r="F319" s="19"/>
      <c r="G319" s="19"/>
      <c r="H319" s="19"/>
      <c r="J319" s="45"/>
      <c r="K319" s="45"/>
      <c r="L319" s="45"/>
      <c r="M319" s="43"/>
      <c r="O319" s="12">
        <f t="shared" si="32"/>
        <v>25.5</v>
      </c>
      <c r="P319" s="13">
        <v>306</v>
      </c>
      <c r="Q319" s="22">
        <v>3.0414461183212227E-2</v>
      </c>
      <c r="R319" s="19">
        <f t="shared" si="33"/>
        <v>2.7314168788160842E-2</v>
      </c>
      <c r="S319" s="22">
        <v>3.0834509631621598E-2</v>
      </c>
      <c r="T319" s="19">
        <f t="shared" si="34"/>
        <v>3.3854859326944098E-2</v>
      </c>
      <c r="U319" s="24">
        <v>3.509771953830132E-2</v>
      </c>
      <c r="V319" s="24">
        <f t="shared" si="35"/>
        <v>3.6328274242339198E-2</v>
      </c>
      <c r="W319" s="23">
        <f t="shared" si="36"/>
        <v>2.9723843034645814E-3</v>
      </c>
      <c r="X319" s="24">
        <v>3.424239617239011E-2</v>
      </c>
      <c r="Y319" s="24">
        <f t="shared" si="37"/>
        <v>3.5822528700151013E-2</v>
      </c>
      <c r="Z319" s="23">
        <f t="shared" si="38"/>
        <v>2.9310291536057687E-3</v>
      </c>
      <c r="AA319" s="36"/>
    </row>
    <row r="320" spans="4:27" ht="13.9" customHeight="1">
      <c r="D320" s="8"/>
      <c r="E320" s="9"/>
      <c r="F320" s="19"/>
      <c r="G320" s="19"/>
      <c r="H320" s="19"/>
      <c r="J320" s="45"/>
      <c r="K320" s="45"/>
      <c r="L320" s="45"/>
      <c r="M320" s="43"/>
      <c r="O320" s="12">
        <f t="shared" si="32"/>
        <v>25.583333333333332</v>
      </c>
      <c r="P320" s="13">
        <v>307</v>
      </c>
      <c r="Q320" s="22">
        <v>3.04043473376574E-2</v>
      </c>
      <c r="R320" s="19">
        <f t="shared" si="33"/>
        <v>2.7284560449822193E-2</v>
      </c>
      <c r="S320" s="22">
        <v>3.0844333566056648E-2</v>
      </c>
      <c r="T320" s="19">
        <f t="shared" si="34"/>
        <v>3.3959003690317457E-2</v>
      </c>
      <c r="U320" s="24">
        <v>3.5101725486845758E-2</v>
      </c>
      <c r="V320" s="24">
        <f t="shared" si="35"/>
        <v>3.6398229163634888E-2</v>
      </c>
      <c r="W320" s="23">
        <f t="shared" si="36"/>
        <v>2.9780891123283304E-3</v>
      </c>
      <c r="X320" s="24">
        <v>3.4247539268824845E-2</v>
      </c>
      <c r="Y320" s="24">
        <f t="shared" si="37"/>
        <v>3.5899258575983195E-2</v>
      </c>
      <c r="Z320" s="23">
        <f t="shared" si="38"/>
        <v>2.9372908115175012E-3</v>
      </c>
      <c r="AA320" s="36"/>
    </row>
    <row r="321" spans="4:27" ht="13.9" customHeight="1">
      <c r="D321" s="8"/>
      <c r="E321" s="9"/>
      <c r="F321" s="19"/>
      <c r="G321" s="19"/>
      <c r="H321" s="19"/>
      <c r="J321" s="45"/>
      <c r="K321" s="45"/>
      <c r="L321" s="45"/>
      <c r="M321" s="43"/>
      <c r="O321" s="12">
        <f t="shared" si="32"/>
        <v>25.666666666666668</v>
      </c>
      <c r="P321" s="13">
        <v>308</v>
      </c>
      <c r="Q321" s="22">
        <v>3.0394202844153284E-2</v>
      </c>
      <c r="R321" s="19">
        <f t="shared" si="33"/>
        <v>2.7254658984149582E-2</v>
      </c>
      <c r="S321" s="22">
        <v>3.0854430934121435E-2</v>
      </c>
      <c r="T321" s="19">
        <f t="shared" si="34"/>
        <v>3.4061892946501304E-2</v>
      </c>
      <c r="U321" s="24">
        <v>3.5105932288882702E-2</v>
      </c>
      <c r="V321" s="24">
        <f t="shared" si="35"/>
        <v>3.6467416473915826E-2</v>
      </c>
      <c r="W321" s="23">
        <f t="shared" si="36"/>
        <v>2.9837309123545985E-3</v>
      </c>
      <c r="X321" s="24">
        <v>3.4252897730079557E-2</v>
      </c>
      <c r="Y321" s="24">
        <f t="shared" si="37"/>
        <v>3.5975127992523781E-2</v>
      </c>
      <c r="Z321" s="23">
        <f t="shared" si="38"/>
        <v>2.9434817563163129E-3</v>
      </c>
      <c r="AA321" s="36"/>
    </row>
    <row r="322" spans="4:27" ht="13.9" customHeight="1">
      <c r="D322" s="8"/>
      <c r="E322" s="9"/>
      <c r="F322" s="19"/>
      <c r="G322" s="19"/>
      <c r="H322" s="19"/>
      <c r="J322" s="45"/>
      <c r="K322" s="45"/>
      <c r="L322" s="45"/>
      <c r="M322" s="43"/>
      <c r="O322" s="12">
        <f t="shared" si="32"/>
        <v>25.75</v>
      </c>
      <c r="P322" s="13">
        <v>309</v>
      </c>
      <c r="Q322" s="22">
        <v>3.038402704782861E-2</v>
      </c>
      <c r="R322" s="19">
        <f t="shared" si="33"/>
        <v>2.7224462654636516E-2</v>
      </c>
      <c r="S322" s="22">
        <v>3.0864795006914969E-2</v>
      </c>
      <c r="T322" s="19">
        <f t="shared" si="34"/>
        <v>3.4163543784151873E-2</v>
      </c>
      <c r="U322" s="24">
        <v>3.5110335500782686E-2</v>
      </c>
      <c r="V322" s="24">
        <f t="shared" si="35"/>
        <v>3.6535845306687298E-2</v>
      </c>
      <c r="W322" s="23">
        <f t="shared" si="36"/>
        <v>2.989310461917194E-3</v>
      </c>
      <c r="X322" s="24">
        <v>3.4258466670411547E-2</v>
      </c>
      <c r="Y322" s="24">
        <f t="shared" si="37"/>
        <v>3.6050147452067138E-2</v>
      </c>
      <c r="Z322" s="23">
        <f t="shared" si="38"/>
        <v>2.9496028617199688E-3</v>
      </c>
      <c r="AA322" s="36"/>
    </row>
    <row r="323" spans="4:27" ht="13.9" customHeight="1">
      <c r="D323" s="8"/>
      <c r="E323" s="9"/>
      <c r="F323" s="19"/>
      <c r="G323" s="19"/>
      <c r="H323" s="19"/>
      <c r="J323" s="45"/>
      <c r="K323" s="45"/>
      <c r="L323" s="45"/>
      <c r="M323" s="43"/>
      <c r="O323" s="12">
        <f t="shared" si="32"/>
        <v>25.833333333333332</v>
      </c>
      <c r="P323" s="13">
        <v>310</v>
      </c>
      <c r="Q323" s="22">
        <v>3.0373819296601212E-2</v>
      </c>
      <c r="R323" s="19">
        <f t="shared" si="33"/>
        <v>2.7193969713129151E-2</v>
      </c>
      <c r="S323" s="22">
        <v>3.0875419197279541E-2</v>
      </c>
      <c r="T323" s="19">
        <f t="shared" si="34"/>
        <v>3.4263972634045237E-2</v>
      </c>
      <c r="U323" s="24">
        <v>3.5114930766242392E-2</v>
      </c>
      <c r="V323" s="24">
        <f t="shared" si="35"/>
        <v>3.660352467182526E-2</v>
      </c>
      <c r="W323" s="23">
        <f t="shared" si="36"/>
        <v>2.9948285089205218E-3</v>
      </c>
      <c r="X323" s="24">
        <v>3.4264241301619869E-2</v>
      </c>
      <c r="Y323" s="24">
        <f t="shared" si="37"/>
        <v>3.6124327311557902E-2</v>
      </c>
      <c r="Z323" s="23">
        <f t="shared" si="38"/>
        <v>2.9556549890028538E-3</v>
      </c>
      <c r="AA323" s="36"/>
    </row>
    <row r="324" spans="4:27" ht="13.9" customHeight="1">
      <c r="D324" s="8"/>
      <c r="E324" s="9"/>
      <c r="F324" s="19"/>
      <c r="G324" s="19"/>
      <c r="H324" s="19"/>
      <c r="J324" s="45"/>
      <c r="K324" s="45"/>
      <c r="L324" s="45"/>
      <c r="M324" s="43"/>
      <c r="O324" s="12">
        <f t="shared" si="32"/>
        <v>25.916666666666668</v>
      </c>
      <c r="P324" s="13">
        <v>311</v>
      </c>
      <c r="Q324" s="22">
        <v>3.0363578941093428E-2</v>
      </c>
      <c r="R324" s="19">
        <f t="shared" si="33"/>
        <v>2.7163178398764476E-2</v>
      </c>
      <c r="S324" s="22">
        <v>3.0886297056648582E-2</v>
      </c>
      <c r="T324" s="19">
        <f t="shared" si="34"/>
        <v>3.4363195674905533E-2</v>
      </c>
      <c r="U324" s="24">
        <v>3.511971381446588E-2</v>
      </c>
      <c r="V324" s="24">
        <f t="shared" si="35"/>
        <v>3.6670463458157387E-2</v>
      </c>
      <c r="W324" s="23">
        <f t="shared" si="36"/>
        <v>3.0002857909947611E-3</v>
      </c>
      <c r="X324" s="24">
        <v>3.427021693098764E-2</v>
      </c>
      <c r="Y324" s="24">
        <f t="shared" si="37"/>
        <v>3.6197677782964455E-2</v>
      </c>
      <c r="Z324" s="23">
        <f t="shared" si="38"/>
        <v>2.9616389873297067E-3</v>
      </c>
      <c r="AA324" s="36"/>
    </row>
    <row r="325" spans="4:27" ht="13.9" customHeight="1">
      <c r="D325" s="8"/>
      <c r="E325" s="9"/>
      <c r="F325" s="19"/>
      <c r="G325" s="19"/>
      <c r="H325" s="19"/>
      <c r="J325" s="45"/>
      <c r="K325" s="45"/>
      <c r="L325" s="45"/>
      <c r="M325" s="43"/>
      <c r="O325" s="12">
        <f t="shared" si="32"/>
        <v>26</v>
      </c>
      <c r="P325" s="13">
        <v>312</v>
      </c>
      <c r="Q325" s="22">
        <v>3.0353305334547942E-2</v>
      </c>
      <c r="R325" s="19">
        <f t="shared" si="33"/>
        <v>2.7132087608799482E-2</v>
      </c>
      <c r="S325" s="22">
        <v>3.0897422271976227E-2</v>
      </c>
      <c r="T325" s="19">
        <f t="shared" si="34"/>
        <v>3.4461228837427971E-2</v>
      </c>
      <c r="U325" s="24">
        <v>3.5124680458387569E-2</v>
      </c>
      <c r="V325" s="24">
        <f t="shared" si="35"/>
        <v>3.6736670434580176E-2</v>
      </c>
      <c r="W325" s="23">
        <f t="shared" si="36"/>
        <v>3.0056830357125808E-3</v>
      </c>
      <c r="X325" s="24">
        <v>3.4276388959265436E-2</v>
      </c>
      <c r="Y325" s="24">
        <f t="shared" si="37"/>
        <v>3.6270208937424275E-2</v>
      </c>
      <c r="Z325" s="23">
        <f t="shared" si="38"/>
        <v>2.9675556937962533E-3</v>
      </c>
      <c r="AA325" s="36"/>
    </row>
    <row r="326" spans="4:27" ht="13.9" customHeight="1">
      <c r="D326" s="8"/>
      <c r="E326" s="9"/>
      <c r="F326" s="19"/>
      <c r="G326" s="19"/>
      <c r="H326" s="19"/>
      <c r="J326" s="45"/>
      <c r="K326" s="45"/>
      <c r="L326" s="45"/>
      <c r="M326" s="43"/>
      <c r="O326" s="12">
        <f t="shared" si="32"/>
        <v>26.083333333333332</v>
      </c>
      <c r="P326" s="13">
        <v>313</v>
      </c>
      <c r="Q326" s="22">
        <v>3.0342997834893692E-2</v>
      </c>
      <c r="R326" s="19">
        <f t="shared" si="33"/>
        <v>2.7100698238041954E-2</v>
      </c>
      <c r="S326" s="22">
        <v>3.0908788662739273E-2</v>
      </c>
      <c r="T326" s="19">
        <f t="shared" si="34"/>
        <v>3.4558087808982174E-2</v>
      </c>
      <c r="U326" s="24">
        <v>3.512982659293451E-2</v>
      </c>
      <c r="V326" s="24">
        <f t="shared" si="35"/>
        <v>3.6802154252738584E-2</v>
      </c>
      <c r="W326" s="23">
        <f t="shared" si="36"/>
        <v>3.0110209606872829E-3</v>
      </c>
      <c r="X326" s="24">
        <v>3.4282752878707523E-2</v>
      </c>
      <c r="Y326" s="24">
        <f t="shared" si="37"/>
        <v>3.6341930706672132E-2</v>
      </c>
      <c r="Z326" s="23">
        <f t="shared" si="38"/>
        <v>2.9734059337733765E-3</v>
      </c>
      <c r="AA326" s="36"/>
    </row>
    <row r="327" spans="4:27" ht="13.9" customHeight="1">
      <c r="D327" s="8"/>
      <c r="E327" s="9"/>
      <c r="F327" s="19"/>
      <c r="G327" s="19"/>
      <c r="H327" s="19"/>
      <c r="J327" s="45"/>
      <c r="K327" s="45"/>
      <c r="L327" s="45"/>
      <c r="M327" s="43"/>
      <c r="O327" s="12">
        <f t="shared" si="32"/>
        <v>26.166666666666668</v>
      </c>
      <c r="P327" s="13">
        <v>314</v>
      </c>
      <c r="Q327" s="22">
        <v>3.0332655811052156E-2</v>
      </c>
      <c r="R327" s="19">
        <f t="shared" si="33"/>
        <v>2.7069009157775437E-2</v>
      </c>
      <c r="S327" s="22">
        <v>3.0920390178012402E-2</v>
      </c>
      <c r="T327" s="19">
        <f t="shared" si="34"/>
        <v>3.4653788038146116E-2</v>
      </c>
      <c r="U327" s="24">
        <v>3.5135148193331522E-2</v>
      </c>
      <c r="V327" s="24">
        <f t="shared" si="35"/>
        <v>3.6866923447616218E-2</v>
      </c>
      <c r="W327" s="23">
        <f t="shared" si="36"/>
        <v>3.0163002737952915E-3</v>
      </c>
      <c r="X327" s="24">
        <v>3.4289304271150289E-2</v>
      </c>
      <c r="Y327" s="24">
        <f t="shared" si="37"/>
        <v>3.6412852885373992E-2</v>
      </c>
      <c r="Z327" s="23">
        <f t="shared" si="38"/>
        <v>2.9791905210319047E-3</v>
      </c>
      <c r="AA327" s="36"/>
    </row>
    <row r="328" spans="4:27" ht="13.9" customHeight="1">
      <c r="D328" s="8"/>
      <c r="E328" s="9"/>
      <c r="F328" s="19"/>
      <c r="G328" s="19"/>
      <c r="H328" s="19"/>
      <c r="J328" s="45"/>
      <c r="K328" s="45"/>
      <c r="L328" s="45"/>
      <c r="M328" s="43"/>
      <c r="O328" s="12">
        <f t="shared" si="32"/>
        <v>26.25</v>
      </c>
      <c r="P328" s="13">
        <v>315</v>
      </c>
      <c r="Q328" s="22">
        <v>3.0322278636317979E-2</v>
      </c>
      <c r="R328" s="19">
        <f t="shared" si="33"/>
        <v>2.7037018555171599E-2</v>
      </c>
      <c r="S328" s="22">
        <v>3.0932220893616469E-2</v>
      </c>
      <c r="T328" s="19">
        <f t="shared" si="34"/>
        <v>3.4748344738725789E-2</v>
      </c>
      <c r="U328" s="24">
        <v>3.5140641313439414E-2</v>
      </c>
      <c r="V328" s="24">
        <f t="shared" si="35"/>
        <v>3.6930986441076508E-2</v>
      </c>
      <c r="W328" s="23">
        <f t="shared" si="36"/>
        <v>3.0215216732325523E-3</v>
      </c>
      <c r="X328" s="24">
        <v>3.4296038806136186E-2</v>
      </c>
      <c r="Y328" s="24">
        <f t="shared" si="37"/>
        <v>3.6482985133455603E-2</v>
      </c>
      <c r="Z328" s="23">
        <f t="shared" si="38"/>
        <v>2.9849102579415643E-3</v>
      </c>
      <c r="AA328" s="36"/>
    </row>
    <row r="329" spans="4:27" ht="13.9" customHeight="1">
      <c r="D329" s="8"/>
      <c r="E329" s="9"/>
      <c r="F329" s="19"/>
      <c r="G329" s="19"/>
      <c r="H329" s="19"/>
      <c r="J329" s="45"/>
      <c r="K329" s="45"/>
      <c r="L329" s="45"/>
      <c r="M329" s="43"/>
      <c r="O329" s="12">
        <f t="shared" si="32"/>
        <v>26.333333333333332</v>
      </c>
      <c r="P329" s="13">
        <v>316</v>
      </c>
      <c r="Q329" s="22">
        <v>3.0311865686117878E-2</v>
      </c>
      <c r="R329" s="19">
        <f t="shared" si="33"/>
        <v>2.7004724605643737E-2</v>
      </c>
      <c r="S329" s="22">
        <v>3.0944275009333388E-2</v>
      </c>
      <c r="T329" s="19">
        <f t="shared" si="34"/>
        <v>3.4841772894774525E-2</v>
      </c>
      <c r="U329" s="24">
        <v>3.5146302084137826E-2</v>
      </c>
      <c r="V329" s="24">
        <f t="shared" si="35"/>
        <v>3.6994351542482207E-2</v>
      </c>
      <c r="W329" s="23">
        <f t="shared" si="36"/>
        <v>3.0266858478058545E-3</v>
      </c>
      <c r="X329" s="24">
        <v>3.4302952239080309E-2</v>
      </c>
      <c r="Y329" s="24">
        <f t="shared" si="37"/>
        <v>3.6552336978600053E-2</v>
      </c>
      <c r="Z329" s="23">
        <f t="shared" si="38"/>
        <v>2.9905659356659342E-3</v>
      </c>
      <c r="AA329" s="36"/>
    </row>
    <row r="330" spans="4:27" ht="13.9" customHeight="1">
      <c r="D330" s="8"/>
      <c r="E330" s="9"/>
      <c r="F330" s="19"/>
      <c r="G330" s="19"/>
      <c r="H330" s="19"/>
      <c r="J330" s="45"/>
      <c r="K330" s="45"/>
      <c r="L330" s="45"/>
      <c r="M330" s="43"/>
      <c r="O330" s="12">
        <f t="shared" si="32"/>
        <v>26.416666666666668</v>
      </c>
      <c r="P330" s="13">
        <v>317</v>
      </c>
      <c r="Q330" s="22">
        <v>3.0301416337937814E-2</v>
      </c>
      <c r="R330" s="19">
        <f t="shared" si="33"/>
        <v>2.6972125472173758E-2</v>
      </c>
      <c r="S330" s="22">
        <v>3.0956546846191646E-2</v>
      </c>
      <c r="T330" s="19">
        <f t="shared" si="34"/>
        <v>3.4934087263928326E-2</v>
      </c>
      <c r="U330" s="24">
        <v>3.5152126711740506E-2</v>
      </c>
      <c r="V330" s="24">
        <f t="shared" si="35"/>
        <v>3.7057026950439109E-2</v>
      </c>
      <c r="W330" s="23">
        <f t="shared" si="36"/>
        <v>3.0317934769910071E-3</v>
      </c>
      <c r="X330" s="24">
        <v>3.4310040409481379E-2</v>
      </c>
      <c r="Y330" s="24">
        <f t="shared" si="37"/>
        <v>3.6620917817931753E-2</v>
      </c>
      <c r="Z330" s="23">
        <f t="shared" si="38"/>
        <v>2.9961583343751652E-3</v>
      </c>
      <c r="AA330" s="36"/>
    </row>
    <row r="331" spans="4:27" ht="13.9" customHeight="1">
      <c r="D331" s="8"/>
      <c r="E331" s="9"/>
      <c r="F331" s="19"/>
      <c r="G331" s="19"/>
      <c r="H331" s="19"/>
      <c r="J331" s="45"/>
      <c r="K331" s="45"/>
      <c r="L331" s="45"/>
      <c r="M331" s="43"/>
      <c r="O331" s="12">
        <f t="shared" si="32"/>
        <v>26.5</v>
      </c>
      <c r="P331" s="13">
        <v>318</v>
      </c>
      <c r="Q331" s="22">
        <v>3.0290929971251268E-2</v>
      </c>
      <c r="R331" s="19">
        <f t="shared" si="33"/>
        <v>2.6939219966128025E-2</v>
      </c>
      <c r="S331" s="22">
        <v>3.096903084381486E-2</v>
      </c>
      <c r="T331" s="19">
        <f t="shared" si="34"/>
        <v>3.5025302381782808E-2</v>
      </c>
      <c r="U331" s="24">
        <v>3.5158111476446763E-2</v>
      </c>
      <c r="V331" s="24">
        <f t="shared" si="35"/>
        <v>3.7119020755472354E-2</v>
      </c>
      <c r="W331" s="23">
        <f t="shared" si="36"/>
        <v>3.036845231078944E-3</v>
      </c>
      <c r="X331" s="24">
        <v>3.4317299239171151E-2</v>
      </c>
      <c r="Y331" s="24">
        <f t="shared" si="37"/>
        <v>3.6688736920456044E-2</v>
      </c>
      <c r="Z331" s="23">
        <f t="shared" si="38"/>
        <v>3.0016882233889763E-3</v>
      </c>
      <c r="AA331" s="36"/>
    </row>
    <row r="332" spans="4:27" ht="13.9" customHeight="1">
      <c r="D332" s="8"/>
      <c r="E332" s="9"/>
      <c r="F332" s="19"/>
      <c r="G332" s="19"/>
      <c r="H332" s="19"/>
      <c r="J332" s="45"/>
      <c r="K332" s="45"/>
      <c r="L332" s="45"/>
      <c r="M332" s="43"/>
      <c r="O332" s="12">
        <f t="shared" si="32"/>
        <v>26.583333333333332</v>
      </c>
      <c r="P332" s="13">
        <v>319</v>
      </c>
      <c r="Q332" s="22">
        <v>3.0280405969525637E-2</v>
      </c>
      <c r="R332" s="19">
        <f t="shared" si="33"/>
        <v>2.6906008868281095E-2</v>
      </c>
      <c r="S332" s="22">
        <v>3.0981721557834296E-2</v>
      </c>
      <c r="T332" s="19">
        <f t="shared" si="34"/>
        <v>3.5115432566076299E-2</v>
      </c>
      <c r="U332" s="24">
        <v>3.5164252730830459E-2</v>
      </c>
      <c r="V332" s="24">
        <f t="shared" si="35"/>
        <v>3.7180340940397683E-2</v>
      </c>
      <c r="W332" s="23">
        <f t="shared" si="36"/>
        <v>3.0418417713991008E-3</v>
      </c>
      <c r="X332" s="24">
        <v>3.4324724730605771E-2</v>
      </c>
      <c r="Y332" s="24">
        <f t="shared" si="37"/>
        <v>3.6755803428744516E-2</v>
      </c>
      <c r="Z332" s="23">
        <f t="shared" si="38"/>
        <v>3.0071563613824903E-3</v>
      </c>
      <c r="AA332" s="36"/>
    </row>
    <row r="333" spans="4:27" ht="13.9" customHeight="1">
      <c r="D333" s="8"/>
      <c r="E333" s="9"/>
      <c r="F333" s="19"/>
      <c r="G333" s="19"/>
      <c r="H333" s="19"/>
      <c r="J333" s="45"/>
      <c r="K333" s="45"/>
      <c r="L333" s="45"/>
      <c r="M333" s="43"/>
      <c r="O333" s="12">
        <f t="shared" si="32"/>
        <v>26.666666666666668</v>
      </c>
      <c r="P333" s="13">
        <v>320</v>
      </c>
      <c r="Q333" s="22">
        <v>3.0269843726333789E-2</v>
      </c>
      <c r="R333" s="19">
        <f t="shared" si="33"/>
        <v>2.6872490963626872E-2</v>
      </c>
      <c r="S333" s="22">
        <v>3.0994613657365555E-2</v>
      </c>
      <c r="T333" s="19">
        <f t="shared" si="34"/>
        <v>3.5204491920376446E-2</v>
      </c>
      <c r="U333" s="24">
        <v>3.5170546898359634E-2</v>
      </c>
      <c r="V333" s="24">
        <f t="shared" si="35"/>
        <v>3.724099538335679E-2</v>
      </c>
      <c r="W333" s="23">
        <f t="shared" si="36"/>
        <v>3.0467837503551642E-3</v>
      </c>
      <c r="X333" s="24">
        <v>3.4332312965194234E-2</v>
      </c>
      <c r="Y333" s="24">
        <f t="shared" si="37"/>
        <v>3.6822126361445662E-2</v>
      </c>
      <c r="Z333" s="23">
        <f t="shared" si="38"/>
        <v>3.0125634965303405E-3</v>
      </c>
      <c r="AA333" s="36"/>
    </row>
    <row r="334" spans="4:27" ht="13.9" customHeight="1">
      <c r="D334" s="8"/>
      <c r="E334" s="9"/>
      <c r="F334" s="19"/>
      <c r="G334" s="19"/>
      <c r="H334" s="19"/>
      <c r="J334" s="45"/>
      <c r="K334" s="45"/>
      <c r="L334" s="45"/>
      <c r="M334" s="43"/>
      <c r="O334" s="12">
        <f t="shared" ref="O334:O397" si="39">P334/12</f>
        <v>26.75</v>
      </c>
      <c r="P334" s="13">
        <v>321</v>
      </c>
      <c r="Q334" s="22">
        <v>3.0259242638958295E-2</v>
      </c>
      <c r="R334" s="19">
        <f t="shared" ref="R334:R397" si="40">(1+Q335)^P335/(1+Q334)^P334-1</f>
        <v>2.6838664364847498E-2</v>
      </c>
      <c r="S334" s="22">
        <v>3.1007701922543207E-2</v>
      </c>
      <c r="T334" s="19">
        <f t="shared" ref="T334:T397" si="41">(1+S335)^P335/(1+S334)^P334-1</f>
        <v>3.5292494338020841E-2</v>
      </c>
      <c r="U334" s="24">
        <v>3.5176990471952552E-2</v>
      </c>
      <c r="V334" s="24">
        <f t="shared" ref="V334:V397" si="42">(1+U335)^P335/(1+U334)^P334-1</f>
        <v>3.730099185835356E-2</v>
      </c>
      <c r="W334" s="23">
        <f t="shared" si="36"/>
        <v>3.0516718116764263E-3</v>
      </c>
      <c r="X334" s="24">
        <v>3.4340060101668124E-2</v>
      </c>
      <c r="Y334" s="24">
        <f t="shared" si="37"/>
        <v>3.6887714614945777E-2</v>
      </c>
      <c r="Z334" s="23">
        <f t="shared" si="38"/>
        <v>3.0179103667173912E-3</v>
      </c>
      <c r="AA334" s="36"/>
    </row>
    <row r="335" spans="4:27" ht="13.9" customHeight="1">
      <c r="D335" s="8"/>
      <c r="E335" s="9"/>
      <c r="F335" s="19"/>
      <c r="G335" s="19"/>
      <c r="H335" s="19"/>
      <c r="J335" s="45"/>
      <c r="K335" s="45"/>
      <c r="L335" s="45"/>
      <c r="M335" s="43"/>
      <c r="O335" s="12">
        <f t="shared" si="39"/>
        <v>26.833333333333332</v>
      </c>
      <c r="P335" s="13">
        <v>322</v>
      </c>
      <c r="Q335" s="22">
        <v>3.0248602106238254E-2</v>
      </c>
      <c r="R335" s="19">
        <f t="shared" si="40"/>
        <v>2.680452717182602E-2</v>
      </c>
      <c r="S335" s="22">
        <v>3.1020981242116497E-2</v>
      </c>
      <c r="T335" s="19">
        <f t="shared" si="41"/>
        <v>3.537945350567484E-2</v>
      </c>
      <c r="U335" s="24">
        <v>3.5183580012564164E-2</v>
      </c>
      <c r="V335" s="24">
        <f t="shared" si="42"/>
        <v>3.736033803738481E-2</v>
      </c>
      <c r="W335" s="23">
        <f t="shared" ref="W335:W398" si="43">(1+V334)^(1/12)-1</f>
        <v>3.0565065904668565E-3</v>
      </c>
      <c r="X335" s="24">
        <v>3.4347962374484453E-2</v>
      </c>
      <c r="Y335" s="24">
        <f t="shared" ref="Y335:Y398" si="44">(1+X336)^P336/(1+X335)^P335-1</f>
        <v>3.6952576965440631E-2</v>
      </c>
      <c r="Z335" s="23">
        <f t="shared" ref="Z335:Z398" si="45">(1+Y334)^(1/12)-1</f>
        <v>3.0231976996801802E-3</v>
      </c>
      <c r="AA335" s="36"/>
    </row>
    <row r="336" spans="4:27" ht="13.9" customHeight="1">
      <c r="D336" s="8"/>
      <c r="E336" s="9"/>
      <c r="F336" s="19"/>
      <c r="G336" s="19"/>
      <c r="H336" s="19"/>
      <c r="J336" s="45"/>
      <c r="K336" s="45"/>
      <c r="L336" s="45"/>
      <c r="M336" s="43"/>
      <c r="O336" s="12">
        <f t="shared" si="39"/>
        <v>26.916666666666668</v>
      </c>
      <c r="P336" s="13">
        <v>323</v>
      </c>
      <c r="Q336" s="22">
        <v>3.0237921528504241E-2</v>
      </c>
      <c r="R336" s="19">
        <f t="shared" si="40"/>
        <v>2.67700774734414E-2</v>
      </c>
      <c r="S336" s="22">
        <v>3.1034446611099886E-2</v>
      </c>
      <c r="T336" s="19">
        <f t="shared" si="41"/>
        <v>3.5465382907124754E-2</v>
      </c>
      <c r="U336" s="24">
        <v>3.5190312147804548E-2</v>
      </c>
      <c r="V336" s="24">
        <f t="shared" si="42"/>
        <v>3.7419041491816296E-2</v>
      </c>
      <c r="W336" s="23">
        <f t="shared" si="43"/>
        <v>3.0612887133831812E-3</v>
      </c>
      <c r="X336" s="24">
        <v>3.435601609226846E-2</v>
      </c>
      <c r="Y336" s="24">
        <f t="shared" si="44"/>
        <v>3.7016722070706276E-2</v>
      </c>
      <c r="Z336" s="23">
        <f t="shared" si="45"/>
        <v>3.0284262131821116E-3</v>
      </c>
      <c r="AA336" s="36"/>
    </row>
    <row r="337" spans="4:27" ht="13.9" customHeight="1">
      <c r="D337" s="8"/>
      <c r="E337" s="9"/>
      <c r="F337" s="19"/>
      <c r="G337" s="19"/>
      <c r="H337" s="19"/>
      <c r="J337" s="45"/>
      <c r="K337" s="45"/>
      <c r="L337" s="45"/>
      <c r="M337" s="43"/>
      <c r="O337" s="12">
        <f t="shared" si="39"/>
        <v>27</v>
      </c>
      <c r="P337" s="13">
        <v>324</v>
      </c>
      <c r="Q337" s="22">
        <v>3.022720030752013E-2</v>
      </c>
      <c r="R337" s="19">
        <f t="shared" si="40"/>
        <v>2.6735313996394394E-2</v>
      </c>
      <c r="S337" s="22">
        <v>3.1048093128481336E-2</v>
      </c>
      <c r="T337" s="19">
        <f t="shared" si="41"/>
        <v>3.5550295826853429E-2</v>
      </c>
      <c r="U337" s="24">
        <v>3.5197183570588653E-2</v>
      </c>
      <c r="V337" s="24">
        <f t="shared" si="42"/>
        <v>3.7477109694383115E-2</v>
      </c>
      <c r="W337" s="23">
        <f t="shared" si="43"/>
        <v>3.0660187987510135E-3</v>
      </c>
      <c r="X337" s="24">
        <v>3.4364217636288608E-2</v>
      </c>
      <c r="Y337" s="24">
        <f t="shared" si="44"/>
        <v>3.7080158472396763E-2</v>
      </c>
      <c r="Z337" s="23">
        <f t="shared" si="45"/>
        <v>3.0335966151628924E-3</v>
      </c>
      <c r="AA337" s="36"/>
    </row>
    <row r="338" spans="4:27" ht="13.9" customHeight="1">
      <c r="D338" s="8"/>
      <c r="E338" s="9"/>
      <c r="F338" s="19"/>
      <c r="G338" s="19"/>
      <c r="H338" s="19"/>
      <c r="J338" s="45"/>
      <c r="K338" s="45"/>
      <c r="L338" s="45"/>
      <c r="M338" s="43"/>
      <c r="O338" s="12">
        <f t="shared" si="39"/>
        <v>27.083333333333332</v>
      </c>
      <c r="P338" s="13">
        <v>325</v>
      </c>
      <c r="Q338" s="22">
        <v>3.0216437848429312E-2</v>
      </c>
      <c r="R338" s="19">
        <f t="shared" si="40"/>
        <v>2.670023740881855E-2</v>
      </c>
      <c r="S338" s="22">
        <v>3.1061915994984535E-2</v>
      </c>
      <c r="T338" s="19">
        <f t="shared" si="41"/>
        <v>3.5634205353445303E-2</v>
      </c>
      <c r="U338" s="24">
        <v>3.5204191037816024E-2</v>
      </c>
      <c r="V338" s="24">
        <f t="shared" si="42"/>
        <v>3.7534550019876711E-2</v>
      </c>
      <c r="W338" s="23">
        <f t="shared" si="43"/>
        <v>3.0706974567318301E-3</v>
      </c>
      <c r="X338" s="24">
        <v>3.4372563458968219E-2</v>
      </c>
      <c r="Y338" s="24">
        <f t="shared" si="44"/>
        <v>3.7142894596994713E-2</v>
      </c>
      <c r="Z338" s="23">
        <f t="shared" si="45"/>
        <v>3.0387096039321548E-3</v>
      </c>
      <c r="AA338" s="36"/>
    </row>
    <row r="339" spans="4:27" ht="13.9" customHeight="1">
      <c r="D339" s="8"/>
      <c r="E339" s="9"/>
      <c r="F339" s="19"/>
      <c r="G339" s="19"/>
      <c r="H339" s="19"/>
      <c r="J339" s="45"/>
      <c r="K339" s="45"/>
      <c r="L339" s="45"/>
      <c r="M339" s="43"/>
      <c r="O339" s="12">
        <f t="shared" si="39"/>
        <v>27.166666666666668</v>
      </c>
      <c r="P339" s="13">
        <v>326</v>
      </c>
      <c r="Q339" s="22">
        <v>3.0205633565677292E-2</v>
      </c>
      <c r="R339" s="19">
        <f t="shared" si="40"/>
        <v>2.6664846411120324E-2</v>
      </c>
      <c r="S339" s="22">
        <v>3.1075910510882432E-2</v>
      </c>
      <c r="T339" s="19">
        <f t="shared" si="41"/>
        <v>3.5717124383174648E-2</v>
      </c>
      <c r="U339" s="24">
        <v>3.5211331369079391E-2</v>
      </c>
      <c r="V339" s="24">
        <f t="shared" si="42"/>
        <v>3.7591369747428827E-2</v>
      </c>
      <c r="W339" s="23">
        <f t="shared" si="43"/>
        <v>3.0753252893844785E-3</v>
      </c>
      <c r="X339" s="24">
        <v>3.4381050082428422E-2</v>
      </c>
      <c r="Y339" s="24">
        <f t="shared" si="44"/>
        <v>3.720493875889419E-2</v>
      </c>
      <c r="Z339" s="23">
        <f t="shared" si="45"/>
        <v>3.0437658682518354E-3</v>
      </c>
      <c r="AA339" s="36"/>
    </row>
    <row r="340" spans="4:27" ht="13.9" customHeight="1">
      <c r="D340" s="8"/>
      <c r="E340" s="9"/>
      <c r="F340" s="19"/>
      <c r="G340" s="19"/>
      <c r="H340" s="19"/>
      <c r="J340" s="45"/>
      <c r="K340" s="45"/>
      <c r="L340" s="45"/>
      <c r="M340" s="43"/>
      <c r="O340" s="12">
        <f t="shared" si="39"/>
        <v>27.25</v>
      </c>
      <c r="P340" s="13">
        <v>327</v>
      </c>
      <c r="Q340" s="22">
        <v>3.0194786876831525E-2</v>
      </c>
      <c r="R340" s="19">
        <f t="shared" si="40"/>
        <v>2.6629139042850136E-2</v>
      </c>
      <c r="S340" s="22">
        <v>3.1090072073864716E-2</v>
      </c>
      <c r="T340" s="19">
        <f t="shared" si="41"/>
        <v>3.5799065623438153E-2</v>
      </c>
      <c r="U340" s="24">
        <v>3.521860144540212E-2</v>
      </c>
      <c r="V340" s="24">
        <f t="shared" si="42"/>
        <v>3.7647576061416554E-2</v>
      </c>
      <c r="W340" s="23">
        <f t="shared" si="43"/>
        <v>3.0799028908541359E-3</v>
      </c>
      <c r="X340" s="24">
        <v>3.4389674097066614E-2</v>
      </c>
      <c r="Y340" s="24">
        <f t="shared" si="44"/>
        <v>3.726629916083235E-2</v>
      </c>
      <c r="Z340" s="23">
        <f t="shared" si="45"/>
        <v>3.0487660875928579E-3</v>
      </c>
      <c r="AA340" s="36"/>
    </row>
    <row r="341" spans="4:27" ht="13.9" customHeight="1">
      <c r="D341" s="8"/>
      <c r="E341" s="9"/>
      <c r="F341" s="19"/>
      <c r="G341" s="19"/>
      <c r="H341" s="19"/>
      <c r="J341" s="45"/>
      <c r="K341" s="45"/>
      <c r="L341" s="45"/>
      <c r="M341" s="43"/>
      <c r="O341" s="12">
        <f t="shared" si="39"/>
        <v>27.333333333333332</v>
      </c>
      <c r="P341" s="13">
        <v>328</v>
      </c>
      <c r="Q341" s="22">
        <v>3.0183897200510179E-2</v>
      </c>
      <c r="R341" s="19">
        <f t="shared" si="40"/>
        <v>2.6593113330013241E-2</v>
      </c>
      <c r="S341" s="22">
        <v>3.1104396176953486E-2</v>
      </c>
      <c r="T341" s="19">
        <f t="shared" si="41"/>
        <v>3.5880041595477863E-2</v>
      </c>
      <c r="U341" s="24">
        <v>3.5225998208003206E-2</v>
      </c>
      <c r="V341" s="24">
        <f t="shared" si="42"/>
        <v>3.7703176053570209E-2</v>
      </c>
      <c r="W341" s="23">
        <f t="shared" si="43"/>
        <v>3.08443084745047E-3</v>
      </c>
      <c r="X341" s="24">
        <v>3.4398432160163139E-2</v>
      </c>
      <c r="Y341" s="24">
        <f t="shared" si="44"/>
        <v>3.7326983896764476E-2</v>
      </c>
      <c r="Z341" s="23">
        <f t="shared" si="45"/>
        <v>3.0537109321755462E-3</v>
      </c>
      <c r="AA341" s="36"/>
    </row>
    <row r="342" spans="4:27" ht="13.9" customHeight="1">
      <c r="D342" s="8"/>
      <c r="E342" s="9"/>
      <c r="F342" s="19"/>
      <c r="G342" s="19"/>
      <c r="H342" s="19"/>
      <c r="J342" s="45"/>
      <c r="K342" s="45"/>
      <c r="L342" s="45"/>
      <c r="M342" s="43"/>
      <c r="O342" s="12">
        <f t="shared" si="39"/>
        <v>27.416666666666668</v>
      </c>
      <c r="P342" s="13">
        <v>329</v>
      </c>
      <c r="Q342" s="22">
        <v>3.0172963956324406E-2</v>
      </c>
      <c r="R342" s="19">
        <f t="shared" si="40"/>
        <v>2.6556767288398619E-2</v>
      </c>
      <c r="S342" s="22">
        <v>3.1118878406468209E-2</v>
      </c>
      <c r="T342" s="19">
        <f t="shared" si="41"/>
        <v>3.5960064638292044E-2</v>
      </c>
      <c r="U342" s="24">
        <v>3.5233518657091345E-2</v>
      </c>
      <c r="V342" s="24">
        <f t="shared" si="42"/>
        <v>3.7758176723063697E-2</v>
      </c>
      <c r="W342" s="23">
        <f t="shared" si="43"/>
        <v>3.0889097378221653E-3</v>
      </c>
      <c r="X342" s="24">
        <v>3.4407320994523038E-2</v>
      </c>
      <c r="Y342" s="24">
        <f t="shared" si="44"/>
        <v>3.738700095289138E-2</v>
      </c>
      <c r="Z342" s="23">
        <f t="shared" si="45"/>
        <v>3.0586010632087657E-3</v>
      </c>
      <c r="AA342" s="36"/>
    </row>
    <row r="343" spans="4:27" ht="13.9" customHeight="1">
      <c r="D343" s="8"/>
      <c r="E343" s="9"/>
      <c r="F343" s="19"/>
      <c r="G343" s="19"/>
      <c r="H343" s="19"/>
      <c r="J343" s="45"/>
      <c r="K343" s="45"/>
      <c r="L343" s="45"/>
      <c r="M343" s="43"/>
      <c r="O343" s="12">
        <f t="shared" si="39"/>
        <v>27.5</v>
      </c>
      <c r="P343" s="13">
        <v>330</v>
      </c>
      <c r="Q343" s="22">
        <v>3.0161986564831267E-2</v>
      </c>
      <c r="R343" s="19">
        <f t="shared" si="40"/>
        <v>2.6520099562777233E-2</v>
      </c>
      <c r="S343" s="22">
        <v>3.1133514440038423E-2</v>
      </c>
      <c r="T343" s="19">
        <f t="shared" si="41"/>
        <v>3.6039146911699405E-2</v>
      </c>
      <c r="U343" s="24">
        <v>3.5241159850680992E-2</v>
      </c>
      <c r="V343" s="24">
        <f t="shared" si="42"/>
        <v>3.7812584980021047E-2</v>
      </c>
      <c r="W343" s="23">
        <f t="shared" si="43"/>
        <v>3.0933401329704679E-3</v>
      </c>
      <c r="X343" s="24">
        <v>3.4416337387144669E-2</v>
      </c>
      <c r="Y343" s="24">
        <f t="shared" si="44"/>
        <v>3.7446358209632713E-2</v>
      </c>
      <c r="Z343" s="23">
        <f t="shared" si="45"/>
        <v>3.0634371329787413E-3</v>
      </c>
      <c r="AA343" s="36"/>
    </row>
    <row r="344" spans="4:27" ht="13.9" customHeight="1">
      <c r="D344" s="8"/>
      <c r="E344" s="9"/>
      <c r="F344" s="19"/>
      <c r="G344" s="19"/>
      <c r="H344" s="19"/>
      <c r="J344" s="45"/>
      <c r="K344" s="45"/>
      <c r="L344" s="45"/>
      <c r="M344" s="43"/>
      <c r="O344" s="12">
        <f t="shared" si="39"/>
        <v>27.583333333333332</v>
      </c>
      <c r="P344" s="13">
        <v>331</v>
      </c>
      <c r="Q344" s="22">
        <v>3.0150964449424666E-2</v>
      </c>
      <c r="R344" s="19">
        <f t="shared" si="40"/>
        <v>2.6483110708875435E-2</v>
      </c>
      <c r="S344" s="22">
        <v>3.1148300044663291E-2</v>
      </c>
      <c r="T344" s="19">
        <f t="shared" si="41"/>
        <v>3.6117300398359475E-2</v>
      </c>
      <c r="U344" s="24">
        <v>3.5248918903441284E-2</v>
      </c>
      <c r="V344" s="24">
        <f t="shared" si="42"/>
        <v>3.7866407644413291E-2</v>
      </c>
      <c r="W344" s="23">
        <f t="shared" si="43"/>
        <v>3.0977225965354016E-3</v>
      </c>
      <c r="X344" s="24">
        <v>3.44254781879203E-2</v>
      </c>
      <c r="Y344" s="24">
        <f t="shared" si="44"/>
        <v>3.7505063442522024E-2</v>
      </c>
      <c r="Z344" s="23">
        <f t="shared" si="45"/>
        <v>3.0682197850135928E-3</v>
      </c>
      <c r="AA344" s="36"/>
    </row>
    <row r="345" spans="4:27" ht="13.9" customHeight="1">
      <c r="D345" s="8"/>
      <c r="E345" s="9"/>
      <c r="F345" s="19"/>
      <c r="G345" s="19"/>
      <c r="H345" s="19"/>
      <c r="J345" s="45"/>
      <c r="K345" s="45"/>
      <c r="L345" s="45"/>
      <c r="M345" s="43"/>
      <c r="O345" s="12">
        <f t="shared" si="39"/>
        <v>27.666666666666668</v>
      </c>
      <c r="P345" s="13">
        <v>332</v>
      </c>
      <c r="Q345" s="22">
        <v>3.0139897042068542E-2</v>
      </c>
      <c r="R345" s="19">
        <f t="shared" si="40"/>
        <v>2.6445799345666821E-2</v>
      </c>
      <c r="S345" s="22">
        <v>3.1163231074813558E-2</v>
      </c>
      <c r="T345" s="19">
        <f t="shared" si="41"/>
        <v>3.6194536908921604E-2</v>
      </c>
      <c r="U345" s="24">
        <v>3.525679298556228E-2</v>
      </c>
      <c r="V345" s="24">
        <f t="shared" si="42"/>
        <v>3.791965144925924E-2</v>
      </c>
      <c r="W345" s="23">
        <f t="shared" si="43"/>
        <v>3.1020576847113901E-3</v>
      </c>
      <c r="X345" s="24">
        <v>3.4434740308362466E-2</v>
      </c>
      <c r="Y345" s="24">
        <f t="shared" si="44"/>
        <v>3.7563124325600716E-2</v>
      </c>
      <c r="Z345" s="23">
        <f t="shared" si="45"/>
        <v>3.0729496541630485E-3</v>
      </c>
      <c r="AA345" s="36"/>
    </row>
    <row r="346" spans="4:27" ht="13.9" customHeight="1">
      <c r="D346" s="8"/>
      <c r="E346" s="9"/>
      <c r="F346" s="19"/>
      <c r="G346" s="19"/>
      <c r="H346" s="19"/>
      <c r="J346" s="45"/>
      <c r="K346" s="45"/>
      <c r="L346" s="45"/>
      <c r="M346" s="43"/>
      <c r="O346" s="12">
        <f t="shared" si="39"/>
        <v>27.75</v>
      </c>
      <c r="P346" s="13">
        <v>333</v>
      </c>
      <c r="Q346" s="22">
        <v>3.0128783777330526E-2</v>
      </c>
      <c r="R346" s="19">
        <f t="shared" si="40"/>
        <v>2.640816343989405E-2</v>
      </c>
      <c r="S346" s="22">
        <v>3.1178303470582591E-2</v>
      </c>
      <c r="T346" s="19">
        <f t="shared" si="41"/>
        <v>3.6270868082653118E-2</v>
      </c>
      <c r="U346" s="24">
        <v>3.5264779321652284E-2</v>
      </c>
      <c r="V346" s="24">
        <f t="shared" si="42"/>
        <v>3.7972323041321587E-2</v>
      </c>
      <c r="W346" s="23">
        <f t="shared" si="43"/>
        <v>3.1063459465114907E-3</v>
      </c>
      <c r="X346" s="24">
        <v>3.4444120720363181E-2</v>
      </c>
      <c r="Y346" s="24">
        <f t="shared" si="44"/>
        <v>3.7620548430876699E-2</v>
      </c>
      <c r="Z346" s="23">
        <f t="shared" si="45"/>
        <v>3.0776273668766674E-3</v>
      </c>
      <c r="AA346" s="36"/>
    </row>
    <row r="347" spans="4:27" ht="13.9" customHeight="1">
      <c r="D347" s="8"/>
      <c r="E347" s="9"/>
      <c r="F347" s="19"/>
      <c r="G347" s="19"/>
      <c r="H347" s="19"/>
      <c r="J347" s="45"/>
      <c r="K347" s="45"/>
      <c r="L347" s="45"/>
      <c r="M347" s="43"/>
      <c r="O347" s="12">
        <f t="shared" si="39"/>
        <v>27.833333333333332</v>
      </c>
      <c r="P347" s="13">
        <v>334</v>
      </c>
      <c r="Q347" s="22">
        <v>3.0117624090382433E-2</v>
      </c>
      <c r="R347" s="19">
        <f t="shared" si="40"/>
        <v>2.6370200946736144E-2</v>
      </c>
      <c r="S347" s="22">
        <v>3.1193513255874272E-2</v>
      </c>
      <c r="T347" s="19">
        <f t="shared" si="41"/>
        <v>3.6346305392088274E-2</v>
      </c>
      <c r="U347" s="24">
        <v>3.5272875189656272E-2</v>
      </c>
      <c r="V347" s="24">
        <f t="shared" si="42"/>
        <v>3.8024428982038394E-2</v>
      </c>
      <c r="W347" s="23">
        <f t="shared" si="43"/>
        <v>3.1105879238257916E-3</v>
      </c>
      <c r="X347" s="24">
        <v>3.4453616454976022E-2</v>
      </c>
      <c r="Y347" s="24">
        <f t="shared" si="44"/>
        <v>3.7677343231233618E-2</v>
      </c>
      <c r="Z347" s="23">
        <f t="shared" si="45"/>
        <v>3.0822535411660912E-3</v>
      </c>
      <c r="AA347" s="36"/>
    </row>
    <row r="348" spans="4:27" ht="13.9" customHeight="1">
      <c r="D348" s="8"/>
      <c r="E348" s="9"/>
      <c r="F348" s="19"/>
      <c r="G348" s="19"/>
      <c r="H348" s="19"/>
      <c r="J348" s="45"/>
      <c r="K348" s="45"/>
      <c r="L348" s="45"/>
      <c r="M348" s="43"/>
      <c r="O348" s="12">
        <f t="shared" si="39"/>
        <v>27.916666666666668</v>
      </c>
      <c r="P348" s="13">
        <v>335</v>
      </c>
      <c r="Q348" s="22">
        <v>3.0106417416955411E-2</v>
      </c>
      <c r="R348" s="19">
        <f t="shared" si="40"/>
        <v>2.6331909809748533E-2</v>
      </c>
      <c r="S348" s="22">
        <v>3.1208856536637075E-2</v>
      </c>
      <c r="T348" s="19">
        <f t="shared" si="41"/>
        <v>3.6420860144779077E-2</v>
      </c>
      <c r="U348" s="24">
        <v>3.5281077919797621E-2</v>
      </c>
      <c r="V348" s="24">
        <f t="shared" si="42"/>
        <v>3.8075975749446656E-2</v>
      </c>
      <c r="W348" s="23">
        <f t="shared" si="43"/>
        <v>3.1147841515022368E-3</v>
      </c>
      <c r="X348" s="24">
        <v>3.4463224601226861E-2</v>
      </c>
      <c r="Y348" s="24">
        <f t="shared" si="44"/>
        <v>3.7733516101888798E-2</v>
      </c>
      <c r="Z348" s="23">
        <f t="shared" si="45"/>
        <v>3.086828786845075E-3</v>
      </c>
      <c r="AA348" s="36"/>
    </row>
    <row r="349" spans="4:27" ht="13.9" customHeight="1">
      <c r="D349" s="8"/>
      <c r="E349" s="9"/>
      <c r="F349" s="19"/>
      <c r="G349" s="19"/>
      <c r="H349" s="19"/>
      <c r="J349" s="45"/>
      <c r="K349" s="45"/>
      <c r="L349" s="45"/>
      <c r="M349" s="43"/>
      <c r="O349" s="12">
        <f t="shared" si="39"/>
        <v>28</v>
      </c>
      <c r="P349" s="13">
        <v>336</v>
      </c>
      <c r="Q349" s="22">
        <v>3.0095163193295527E-2</v>
      </c>
      <c r="R349" s="19">
        <f t="shared" si="40"/>
        <v>2.6293288592791342E-2</v>
      </c>
      <c r="S349" s="22">
        <v>3.1224329499136561E-2</v>
      </c>
      <c r="T349" s="19">
        <f t="shared" si="41"/>
        <v>3.6494543486741415E-2</v>
      </c>
      <c r="U349" s="24">
        <v>3.5289384893544495E-2</v>
      </c>
      <c r="V349" s="24">
        <f t="shared" si="42"/>
        <v>3.812696973857399E-2</v>
      </c>
      <c r="W349" s="23">
        <f t="shared" si="43"/>
        <v>3.1189351575051649E-3</v>
      </c>
      <c r="X349" s="24">
        <v>3.4472942304951681E-2</v>
      </c>
      <c r="Y349" s="24">
        <f t="shared" si="44"/>
        <v>3.7789074320723648E-2</v>
      </c>
      <c r="Z349" s="23">
        <f t="shared" si="45"/>
        <v>3.091353705653388E-3</v>
      </c>
      <c r="AA349" s="36"/>
    </row>
    <row r="350" spans="4:27" ht="13.9" customHeight="1">
      <c r="D350" s="8"/>
      <c r="E350" s="9"/>
      <c r="F350" s="19"/>
      <c r="G350" s="19"/>
      <c r="H350" s="19"/>
      <c r="J350" s="45"/>
      <c r="K350" s="45"/>
      <c r="L350" s="45"/>
      <c r="M350" s="43"/>
      <c r="O350" s="12">
        <f t="shared" si="39"/>
        <v>28.083333333333332</v>
      </c>
      <c r="P350" s="13">
        <v>337</v>
      </c>
      <c r="Q350" s="22">
        <v>3.008386085800252E-2</v>
      </c>
      <c r="R350" s="19">
        <f t="shared" si="40"/>
        <v>2.6254337742620537E-2</v>
      </c>
      <c r="S350" s="22">
        <v>3.1239928408268058E-2</v>
      </c>
      <c r="T350" s="19">
        <f t="shared" si="41"/>
        <v>3.6567366404904877E-2</v>
      </c>
      <c r="U350" s="24">
        <v>3.5297793542595546E-2</v>
      </c>
      <c r="V350" s="24">
        <f t="shared" si="42"/>
        <v>3.8177417263900226E-2</v>
      </c>
      <c r="W350" s="23">
        <f t="shared" si="43"/>
        <v>3.1230414629519476E-3</v>
      </c>
      <c r="X350" s="24">
        <v>3.4482766767656825E-2</v>
      </c>
      <c r="Y350" s="24">
        <f t="shared" si="44"/>
        <v>3.7844025071508414E-2</v>
      </c>
      <c r="Z350" s="23">
        <f t="shared" si="45"/>
        <v>3.0958288912865672E-3</v>
      </c>
      <c r="AA350" s="36"/>
    </row>
    <row r="351" spans="4:27" ht="13.9" customHeight="1">
      <c r="D351" s="8"/>
      <c r="E351" s="9"/>
      <c r="F351" s="19"/>
      <c r="G351" s="19"/>
      <c r="H351" s="19"/>
      <c r="J351" s="45"/>
      <c r="K351" s="45"/>
      <c r="L351" s="45"/>
      <c r="M351" s="43"/>
      <c r="O351" s="12">
        <f t="shared" si="39"/>
        <v>28.166666666666668</v>
      </c>
      <c r="P351" s="13">
        <v>338</v>
      </c>
      <c r="Q351" s="22">
        <v>3.0072509857585361E-2</v>
      </c>
      <c r="R351" s="19">
        <f t="shared" si="40"/>
        <v>2.621505579781247E-2</v>
      </c>
      <c r="S351" s="22">
        <v>3.1255649605908209E-2</v>
      </c>
      <c r="T351" s="19">
        <f t="shared" si="41"/>
        <v>3.6639339729625187E-2</v>
      </c>
      <c r="U351" s="24">
        <v>3.5306301347891811E-2</v>
      </c>
      <c r="V351" s="24">
        <f t="shared" si="42"/>
        <v>3.8227324559238607E-2</v>
      </c>
      <c r="W351" s="23">
        <f t="shared" si="43"/>
        <v>3.1271035823139393E-3</v>
      </c>
      <c r="X351" s="24">
        <v>3.4492695245407878E-2</v>
      </c>
      <c r="Y351" s="24">
        <f t="shared" si="44"/>
        <v>3.7898375444164412E-2</v>
      </c>
      <c r="Z351" s="23">
        <f t="shared" si="45"/>
        <v>3.1002549296637039E-3</v>
      </c>
      <c r="AA351" s="36"/>
    </row>
    <row r="352" spans="4:27" ht="13.9" customHeight="1">
      <c r="D352" s="8"/>
      <c r="E352" s="9"/>
      <c r="F352" s="19"/>
      <c r="G352" s="19"/>
      <c r="H352" s="19"/>
      <c r="J352" s="45"/>
      <c r="K352" s="45"/>
      <c r="L352" s="45"/>
      <c r="M352" s="43"/>
      <c r="O352" s="12">
        <f t="shared" si="39"/>
        <v>28.25</v>
      </c>
      <c r="P352" s="13">
        <v>339</v>
      </c>
      <c r="Q352" s="22">
        <v>3.0061109640695527E-2</v>
      </c>
      <c r="R352" s="19">
        <f t="shared" si="40"/>
        <v>2.617544065478894E-2</v>
      </c>
      <c r="S352" s="22">
        <v>3.1271489509303363E-2</v>
      </c>
      <c r="T352" s="19">
        <f t="shared" si="41"/>
        <v>3.6710474137899851E-2</v>
      </c>
      <c r="U352" s="24">
        <v>3.5314905838645494E-2</v>
      </c>
      <c r="V352" s="24">
        <f t="shared" si="42"/>
        <v>3.8276697779850988E-2</v>
      </c>
      <c r="W352" s="23">
        <f t="shared" si="43"/>
        <v>3.1311220234120363E-3</v>
      </c>
      <c r="X352" s="24">
        <v>3.4502725047740324E-2</v>
      </c>
      <c r="Y352" s="24">
        <f t="shared" si="44"/>
        <v>3.7952132436198438E-2</v>
      </c>
      <c r="Z352" s="23">
        <f t="shared" si="45"/>
        <v>3.1046323989507574E-3</v>
      </c>
      <c r="AA352" s="36"/>
    </row>
    <row r="353" spans="4:27" ht="13.9" customHeight="1">
      <c r="D353" s="8"/>
      <c r="E353" s="9"/>
      <c r="F353" s="19"/>
      <c r="G353" s="19"/>
      <c r="H353" s="19"/>
      <c r="J353" s="45"/>
      <c r="K353" s="45"/>
      <c r="L353" s="45"/>
      <c r="M353" s="43"/>
      <c r="O353" s="12">
        <f t="shared" si="39"/>
        <v>28.333333333333332</v>
      </c>
      <c r="P353" s="13">
        <v>340</v>
      </c>
      <c r="Q353" s="22">
        <v>3.0049659656198102E-2</v>
      </c>
      <c r="R353" s="19">
        <f t="shared" si="40"/>
        <v>2.6135490198399003E-2</v>
      </c>
      <c r="S353" s="22">
        <v>3.1287444609496173E-2</v>
      </c>
      <c r="T353" s="19">
        <f t="shared" si="41"/>
        <v>3.6780780154953563E-2</v>
      </c>
      <c r="U353" s="24">
        <v>3.5323604591392721E-2</v>
      </c>
      <c r="V353" s="24">
        <f t="shared" si="42"/>
        <v>3.8325543002783569E-2</v>
      </c>
      <c r="W353" s="23">
        <f t="shared" si="43"/>
        <v>3.135097287590316E-3</v>
      </c>
      <c r="X353" s="24">
        <v>3.4512853536593724E-2</v>
      </c>
      <c r="Y353" s="24">
        <f t="shared" si="44"/>
        <v>3.8005302954658982E-2</v>
      </c>
      <c r="Z353" s="23">
        <f t="shared" si="45"/>
        <v>3.1089618696833465E-3</v>
      </c>
      <c r="AA353" s="36"/>
    </row>
    <row r="354" spans="4:27" ht="13.9" customHeight="1">
      <c r="D354" s="8"/>
      <c r="E354" s="9"/>
      <c r="F354" s="19"/>
      <c r="G354" s="19"/>
      <c r="H354" s="19"/>
      <c r="J354" s="45"/>
      <c r="K354" s="45"/>
      <c r="L354" s="45"/>
      <c r="M354" s="43"/>
      <c r="O354" s="12">
        <f t="shared" si="39"/>
        <v>28.416666666666668</v>
      </c>
      <c r="P354" s="13">
        <v>341</v>
      </c>
      <c r="Q354" s="22">
        <v>3.0038159353133809E-2</v>
      </c>
      <c r="R354" s="19">
        <f t="shared" si="40"/>
        <v>2.6095202303105358E-2</v>
      </c>
      <c r="S354" s="22">
        <v>3.1303511469784828E-2</v>
      </c>
      <c r="T354" s="19">
        <f t="shared" si="41"/>
        <v>3.6850268158169941E-2</v>
      </c>
      <c r="U354" s="24">
        <v>3.533239522906384E-2</v>
      </c>
      <c r="V354" s="24">
        <f t="shared" si="42"/>
        <v>3.8373866229061582E-2</v>
      </c>
      <c r="W354" s="23">
        <f t="shared" si="43"/>
        <v>3.139029869746901E-3</v>
      </c>
      <c r="X354" s="24">
        <v>3.4523078125270334E-2</v>
      </c>
      <c r="Y354" s="24">
        <f t="shared" si="44"/>
        <v>3.805789381726199E-2</v>
      </c>
      <c r="Z354" s="23">
        <f t="shared" si="45"/>
        <v>3.1132439049277316E-3</v>
      </c>
      <c r="AA354" s="36"/>
    </row>
    <row r="355" spans="4:27" ht="13.9" customHeight="1">
      <c r="D355" s="8"/>
      <c r="E355" s="9"/>
      <c r="F355" s="19"/>
      <c r="G355" s="19"/>
      <c r="H355" s="19"/>
      <c r="J355" s="45"/>
      <c r="K355" s="45"/>
      <c r="L355" s="45"/>
      <c r="M355" s="43"/>
      <c r="O355" s="12">
        <f t="shared" si="39"/>
        <v>28.5</v>
      </c>
      <c r="P355" s="13">
        <v>342</v>
      </c>
      <c r="Q355" s="22">
        <v>3.0026608180684367E-2</v>
      </c>
      <c r="R355" s="19">
        <f t="shared" si="40"/>
        <v>2.6054575453697826E-2</v>
      </c>
      <c r="S355" s="22">
        <v>3.1319686724222251E-2</v>
      </c>
      <c r="T355" s="19">
        <f t="shared" si="41"/>
        <v>3.6918948377555827E-2</v>
      </c>
      <c r="U355" s="24">
        <v>3.5341275420076812E-2</v>
      </c>
      <c r="V355" s="24">
        <f t="shared" si="42"/>
        <v>3.842167338388669E-2</v>
      </c>
      <c r="W355" s="23">
        <f t="shared" si="43"/>
        <v>3.1429202585149252E-3</v>
      </c>
      <c r="X355" s="24">
        <v>3.453339627741614E-2</v>
      </c>
      <c r="Y355" s="24">
        <f t="shared" si="44"/>
        <v>3.8109911753250625E-2</v>
      </c>
      <c r="Z355" s="23">
        <f t="shared" si="45"/>
        <v>3.1174790603767377E-3</v>
      </c>
      <c r="AA355" s="36"/>
    </row>
    <row r="356" spans="4:27" ht="13.9" customHeight="1">
      <c r="D356" s="8"/>
      <c r="E356" s="9"/>
      <c r="F356" s="19"/>
      <c r="G356" s="19"/>
      <c r="H356" s="19"/>
      <c r="J356" s="45"/>
      <c r="K356" s="45"/>
      <c r="L356" s="45"/>
      <c r="M356" s="43"/>
      <c r="O356" s="12">
        <f t="shared" si="39"/>
        <v>28.583333333333332</v>
      </c>
      <c r="P356" s="13">
        <v>343</v>
      </c>
      <c r="Q356" s="22">
        <v>3.0015005589955956E-2</v>
      </c>
      <c r="R356" s="19">
        <f t="shared" si="40"/>
        <v>2.6013609989637976E-2</v>
      </c>
      <c r="S356" s="22">
        <v>3.1335967076142612E-2</v>
      </c>
      <c r="T356" s="19">
        <f t="shared" si="41"/>
        <v>3.6986830900628931E-2</v>
      </c>
      <c r="U356" s="24">
        <v>3.5350242877447036E-2</v>
      </c>
      <c r="V356" s="24">
        <f t="shared" si="42"/>
        <v>3.8468970318056073E-2</v>
      </c>
      <c r="W356" s="23">
        <f t="shared" si="43"/>
        <v>3.1467689362807416E-3</v>
      </c>
      <c r="X356" s="24">
        <v>3.4543805506021652E-2</v>
      </c>
      <c r="Y356" s="24">
        <f t="shared" si="44"/>
        <v>3.8161363405764925E-2</v>
      </c>
      <c r="Z356" s="23">
        <f t="shared" si="45"/>
        <v>3.1216678844234735E-3</v>
      </c>
      <c r="AA356" s="36"/>
    </row>
    <row r="357" spans="4:27" ht="13.9" customHeight="1">
      <c r="D357" s="8"/>
      <c r="E357" s="9"/>
      <c r="F357" s="19"/>
      <c r="G357" s="19"/>
      <c r="H357" s="19"/>
      <c r="J357" s="45"/>
      <c r="K357" s="45"/>
      <c r="L357" s="45"/>
      <c r="M357" s="43"/>
      <c r="O357" s="12">
        <f t="shared" si="39"/>
        <v>28.666666666666668</v>
      </c>
      <c r="P357" s="13">
        <v>344</v>
      </c>
      <c r="Q357" s="22">
        <v>3.0003351039362247E-2</v>
      </c>
      <c r="R357" s="19">
        <f t="shared" si="40"/>
        <v>2.5972304371603139E-2</v>
      </c>
      <c r="S357" s="22">
        <v>3.1352349296728033E-2</v>
      </c>
      <c r="T357" s="19">
        <f t="shared" si="41"/>
        <v>3.7053925672309473E-2</v>
      </c>
      <c r="U357" s="24">
        <v>3.5359295357917597E-2</v>
      </c>
      <c r="V357" s="24">
        <f t="shared" si="42"/>
        <v>3.8515762809446352E-2</v>
      </c>
      <c r="W357" s="23">
        <f t="shared" si="43"/>
        <v>3.1505763793033825E-3</v>
      </c>
      <c r="X357" s="24">
        <v>3.4554303372447803E-2</v>
      </c>
      <c r="Y357" s="24">
        <f t="shared" si="44"/>
        <v>3.8212255331985689E-2</v>
      </c>
      <c r="Z357" s="23">
        <f t="shared" si="45"/>
        <v>3.1258109183560645E-3</v>
      </c>
      <c r="AA357" s="36"/>
    </row>
    <row r="358" spans="4:27" ht="13.9" customHeight="1">
      <c r="D358" s="8"/>
      <c r="E358" s="9"/>
      <c r="F358" s="19"/>
      <c r="G358" s="19"/>
      <c r="H358" s="19"/>
      <c r="J358" s="45"/>
      <c r="K358" s="45"/>
      <c r="L358" s="45"/>
      <c r="M358" s="43"/>
      <c r="O358" s="12">
        <f t="shared" si="39"/>
        <v>28.75</v>
      </c>
      <c r="P358" s="13">
        <v>345</v>
      </c>
      <c r="Q358" s="22">
        <v>2.9991643989050853E-2</v>
      </c>
      <c r="R358" s="19">
        <f t="shared" si="40"/>
        <v>2.5930656427322063E-2</v>
      </c>
      <c r="S358" s="22">
        <v>3.1368830223601263E-2</v>
      </c>
      <c r="T358" s="19">
        <f t="shared" si="41"/>
        <v>3.7120242499405709E-2</v>
      </c>
      <c r="U358" s="24">
        <v>3.5368430661107952E-2</v>
      </c>
      <c r="V358" s="24">
        <f t="shared" si="42"/>
        <v>3.8562056562882807E-2</v>
      </c>
      <c r="W358" s="23">
        <f t="shared" si="43"/>
        <v>3.1543430578362397E-3</v>
      </c>
      <c r="X358" s="24">
        <v>3.4564887485469376E-2</v>
      </c>
      <c r="Y358" s="24">
        <f t="shared" si="44"/>
        <v>3.8262594005305184E-2</v>
      </c>
      <c r="Z358" s="23">
        <f t="shared" si="45"/>
        <v>3.1299086963749723E-3</v>
      </c>
      <c r="AA358" s="36"/>
    </row>
    <row r="359" spans="4:27" ht="13.9" customHeight="1">
      <c r="D359" s="8"/>
      <c r="E359" s="9"/>
      <c r="F359" s="19"/>
      <c r="G359" s="19"/>
      <c r="H359" s="19"/>
      <c r="J359" s="45"/>
      <c r="K359" s="45"/>
      <c r="L359" s="45"/>
      <c r="M359" s="43"/>
      <c r="O359" s="12">
        <f t="shared" si="39"/>
        <v>28.833333333333332</v>
      </c>
      <c r="P359" s="13">
        <v>346</v>
      </c>
      <c r="Q359" s="22">
        <v>2.9979883899040827E-2</v>
      </c>
      <c r="R359" s="19">
        <f t="shared" si="40"/>
        <v>2.588866397390488E-2</v>
      </c>
      <c r="S359" s="22">
        <v>3.1385406759455003E-2</v>
      </c>
      <c r="T359" s="19">
        <f t="shared" si="41"/>
        <v>3.7185791051107753E-2</v>
      </c>
      <c r="U359" s="24">
        <v>3.5377646628678816E-2</v>
      </c>
      <c r="V359" s="24">
        <f t="shared" si="42"/>
        <v>3.8607857212862973E-2</v>
      </c>
      <c r="W359" s="23">
        <f t="shared" si="43"/>
        <v>3.1580694361199591E-3</v>
      </c>
      <c r="X359" s="24">
        <v>3.4575555500341526E-2</v>
      </c>
      <c r="Y359" s="24">
        <f t="shared" si="44"/>
        <v>3.8312385816127392E-2</v>
      </c>
      <c r="Z359" s="23">
        <f t="shared" si="45"/>
        <v>3.1339617457699642E-3</v>
      </c>
      <c r="AA359" s="36"/>
    </row>
    <row r="360" spans="4:27" ht="13.9" customHeight="1">
      <c r="D360" s="8"/>
      <c r="E360" s="9"/>
      <c r="F360" s="19"/>
      <c r="G360" s="19"/>
      <c r="H360" s="19"/>
      <c r="J360" s="45"/>
      <c r="K360" s="45"/>
      <c r="L360" s="45"/>
      <c r="M360" s="43"/>
      <c r="O360" s="12">
        <f t="shared" si="39"/>
        <v>28.916666666666668</v>
      </c>
      <c r="P360" s="13">
        <v>347</v>
      </c>
      <c r="Q360" s="22">
        <v>2.9968070229192678E-2</v>
      </c>
      <c r="R360" s="19">
        <f t="shared" si="40"/>
        <v>2.5846324818456612E-2</v>
      </c>
      <c r="S360" s="22">
        <v>3.1402075870707424E-2</v>
      </c>
      <c r="T360" s="19">
        <f t="shared" si="41"/>
        <v>3.7250580862580263E-2</v>
      </c>
      <c r="U360" s="24">
        <v>3.5386941143517925E-2</v>
      </c>
      <c r="V360" s="24">
        <f t="shared" si="42"/>
        <v>3.8653170323279529E-2</v>
      </c>
      <c r="W360" s="23">
        <f t="shared" si="43"/>
        <v>3.1617559726053734E-3</v>
      </c>
      <c r="X360" s="24">
        <v>3.4586305117884741E-2</v>
      </c>
      <c r="Y360" s="24">
        <f t="shared" si="44"/>
        <v>3.8361637073123678E-2</v>
      </c>
      <c r="Z360" s="23">
        <f t="shared" si="45"/>
        <v>3.1379705869911678E-3</v>
      </c>
      <c r="AA360" s="36"/>
    </row>
    <row r="361" spans="4:27" ht="13.9" customHeight="1">
      <c r="D361" s="8"/>
      <c r="E361" s="9"/>
      <c r="F361" s="19"/>
      <c r="G361" s="19"/>
      <c r="H361" s="19"/>
      <c r="J361" s="45"/>
      <c r="K361" s="45"/>
      <c r="L361" s="45"/>
      <c r="M361" s="43"/>
      <c r="O361" s="12">
        <f t="shared" si="39"/>
        <v>29</v>
      </c>
      <c r="P361" s="13">
        <v>348</v>
      </c>
      <c r="Q361" s="22">
        <v>2.995620243918018E-2</v>
      </c>
      <c r="R361" s="19">
        <f t="shared" si="40"/>
        <v>2.5803637369088195E-2</v>
      </c>
      <c r="S361" s="22">
        <v>3.1418834586191879E-2</v>
      </c>
      <c r="T361" s="19">
        <f t="shared" si="41"/>
        <v>3.7314621336141274E-2</v>
      </c>
      <c r="U361" s="24">
        <v>3.5396312128940233E-2</v>
      </c>
      <c r="V361" s="24">
        <f t="shared" si="42"/>
        <v>3.8698001388578041E-2</v>
      </c>
      <c r="W361" s="23">
        <f t="shared" si="43"/>
        <v>3.1654031199346289E-3</v>
      </c>
      <c r="X361" s="24">
        <v>3.4597134083589109E-2</v>
      </c>
      <c r="Y361" s="24">
        <f t="shared" si="44"/>
        <v>3.8410354004208891E-2</v>
      </c>
      <c r="Z361" s="23">
        <f t="shared" si="45"/>
        <v>3.1419357337514331E-3</v>
      </c>
      <c r="AA361" s="36"/>
    </row>
    <row r="362" spans="4:27" ht="13.9" customHeight="1">
      <c r="D362" s="8"/>
      <c r="E362" s="9"/>
      <c r="F362" s="19"/>
      <c r="G362" s="19"/>
      <c r="H362" s="19"/>
      <c r="J362" s="45"/>
      <c r="K362" s="45"/>
      <c r="L362" s="45"/>
      <c r="M362" s="43"/>
      <c r="O362" s="12">
        <f t="shared" si="39"/>
        <v>29.083333333333332</v>
      </c>
      <c r="P362" s="13">
        <v>349</v>
      </c>
      <c r="Q362" s="22">
        <v>2.9944279990220979E-2</v>
      </c>
      <c r="R362" s="19">
        <f t="shared" si="40"/>
        <v>2.5760601860612908E-2</v>
      </c>
      <c r="S362" s="22">
        <v>3.1435679995872157E-2</v>
      </c>
      <c r="T362" s="19">
        <f t="shared" si="41"/>
        <v>3.7377921744215392E-2</v>
      </c>
      <c r="U362" s="24">
        <v>3.5405757547904981E-2</v>
      </c>
      <c r="V362" s="24">
        <f t="shared" si="42"/>
        <v>3.8742355835728048E-2</v>
      </c>
      <c r="W362" s="23">
        <f t="shared" si="43"/>
        <v>3.1690113250368857E-3</v>
      </c>
      <c r="X362" s="24">
        <v>3.4608040186738576E-2</v>
      </c>
      <c r="Y362" s="24">
        <f t="shared" si="44"/>
        <v>3.8458542758880609E-2</v>
      </c>
      <c r="Z362" s="23">
        <f t="shared" si="45"/>
        <v>3.1458576931113758E-3</v>
      </c>
      <c r="AA362" s="36"/>
    </row>
    <row r="363" spans="4:27" ht="13.9" customHeight="1">
      <c r="D363" s="8"/>
      <c r="E363" s="9"/>
      <c r="F363" s="19"/>
      <c r="G363" s="19"/>
      <c r="H363" s="19"/>
      <c r="J363" s="45"/>
      <c r="K363" s="45"/>
      <c r="L363" s="45"/>
      <c r="M363" s="43"/>
      <c r="O363" s="12">
        <f t="shared" si="39"/>
        <v>29.166666666666668</v>
      </c>
      <c r="P363" s="13">
        <v>350</v>
      </c>
      <c r="Q363" s="22">
        <v>2.9932302350293538E-2</v>
      </c>
      <c r="R363" s="19">
        <f t="shared" si="40"/>
        <v>2.5717216677474175E-2</v>
      </c>
      <c r="S363" s="22">
        <v>3.1452609249588814E-2</v>
      </c>
      <c r="T363" s="19">
        <f t="shared" si="41"/>
        <v>3.7440491230929629E-2</v>
      </c>
      <c r="U363" s="24">
        <v>3.5415275402251867E-2</v>
      </c>
      <c r="V363" s="24">
        <f t="shared" si="42"/>
        <v>3.8786239023797631E-2</v>
      </c>
      <c r="W363" s="23">
        <f t="shared" si="43"/>
        <v>3.1725810292895229E-3</v>
      </c>
      <c r="X363" s="24">
        <v>3.4619021259554517E-2</v>
      </c>
      <c r="Y363" s="24">
        <f t="shared" si="44"/>
        <v>3.8506209407296321E-2</v>
      </c>
      <c r="Z363" s="23">
        <f t="shared" si="45"/>
        <v>3.1497369656701135E-3</v>
      </c>
      <c r="AA363" s="36"/>
    </row>
    <row r="364" spans="4:27" ht="13.9" customHeight="1">
      <c r="D364" s="8"/>
      <c r="E364" s="9"/>
      <c r="F364" s="19"/>
      <c r="G364" s="19"/>
      <c r="H364" s="19"/>
      <c r="J364" s="45"/>
      <c r="K364" s="45"/>
      <c r="L364" s="45"/>
      <c r="M364" s="43"/>
      <c r="O364" s="12">
        <f t="shared" si="39"/>
        <v>29.25</v>
      </c>
      <c r="P364" s="13">
        <v>351</v>
      </c>
      <c r="Q364" s="22">
        <v>2.9920268988747445E-2</v>
      </c>
      <c r="R364" s="19">
        <f t="shared" si="40"/>
        <v>2.5673479581792336E-2</v>
      </c>
      <c r="S364" s="22">
        <v>3.1469619555832162E-2</v>
      </c>
      <c r="T364" s="19">
        <f t="shared" si="41"/>
        <v>3.7502338814378255E-2</v>
      </c>
      <c r="U364" s="24">
        <v>3.5424863731949641E-2</v>
      </c>
      <c r="V364" s="24">
        <f t="shared" si="42"/>
        <v>3.8829656246005095E-2</v>
      </c>
      <c r="W364" s="23">
        <f t="shared" si="43"/>
        <v>3.1761126684886065E-3</v>
      </c>
      <c r="X364" s="24">
        <v>3.4630075176353747E-2</v>
      </c>
      <c r="Y364" s="24">
        <f t="shared" si="44"/>
        <v>3.8553359944030419E-2</v>
      </c>
      <c r="Z364" s="23">
        <f t="shared" si="45"/>
        <v>3.1535740454944339E-3</v>
      </c>
      <c r="AA364" s="36"/>
    </row>
    <row r="365" spans="4:27" ht="13.9" customHeight="1">
      <c r="D365" s="8"/>
      <c r="E365" s="9"/>
      <c r="F365" s="19"/>
      <c r="G365" s="19"/>
      <c r="H365" s="19"/>
      <c r="J365" s="45"/>
      <c r="K365" s="45"/>
      <c r="L365" s="45"/>
      <c r="M365" s="43"/>
      <c r="O365" s="12">
        <f t="shared" si="39"/>
        <v>29.333333333333332</v>
      </c>
      <c r="P365" s="13">
        <v>352</v>
      </c>
      <c r="Q365" s="22">
        <v>2.9908179374507071E-2</v>
      </c>
      <c r="R365" s="19">
        <f t="shared" si="40"/>
        <v>2.5629388325252744E-2</v>
      </c>
      <c r="S365" s="22">
        <v>3.1486708180542555E-2</v>
      </c>
      <c r="T365" s="19">
        <f t="shared" si="41"/>
        <v>3.7563473388177115E-2</v>
      </c>
      <c r="U365" s="24">
        <v>3.5434520614362697E-2</v>
      </c>
      <c r="V365" s="24">
        <f t="shared" si="42"/>
        <v>3.8872612730020517E-2</v>
      </c>
      <c r="W365" s="23">
        <f t="shared" si="43"/>
        <v>3.1796066730149786E-3</v>
      </c>
      <c r="X365" s="24">
        <v>3.4641199852730509E-2</v>
      </c>
      <c r="Y365" s="24">
        <f t="shared" si="44"/>
        <v>3.8600000286508118E-2</v>
      </c>
      <c r="Z365" s="23">
        <f t="shared" si="45"/>
        <v>3.1573694204261038E-3</v>
      </c>
      <c r="AA365" s="36"/>
    </row>
    <row r="366" spans="4:27" ht="13.9" customHeight="1">
      <c r="D366" s="8"/>
      <c r="E366" s="9"/>
      <c r="F366" s="19"/>
      <c r="G366" s="19"/>
      <c r="H366" s="19"/>
      <c r="J366" s="45"/>
      <c r="K366" s="45"/>
      <c r="L366" s="45"/>
      <c r="M366" s="43"/>
      <c r="O366" s="12">
        <f t="shared" si="39"/>
        <v>29.416666666666668</v>
      </c>
      <c r="P366" s="13">
        <v>353</v>
      </c>
      <c r="Q366" s="22">
        <v>2.9896032976046705E-2</v>
      </c>
      <c r="R366" s="19">
        <f t="shared" si="40"/>
        <v>2.5584940648962995E-2</v>
      </c>
      <c r="S366" s="22">
        <v>3.1503872445936221E-2</v>
      </c>
      <c r="T366" s="19">
        <f t="shared" si="41"/>
        <v>3.7623903724758989E-2</v>
      </c>
      <c r="U366" s="24">
        <v>3.544424416353209E-2</v>
      </c>
      <c r="V366" s="24">
        <f t="shared" si="42"/>
        <v>3.8915113639328203E-2</v>
      </c>
      <c r="W366" s="23">
        <f t="shared" si="43"/>
        <v>3.183063467862679E-3</v>
      </c>
      <c r="X366" s="24">
        <v>3.4652393244748891E-2</v>
      </c>
      <c r="Y366" s="24">
        <f t="shared" si="44"/>
        <v>3.8646136278248422E-2</v>
      </c>
      <c r="Z366" s="23">
        <f t="shared" si="45"/>
        <v>3.1611235719588571E-3</v>
      </c>
      <c r="AA366" s="36"/>
    </row>
    <row r="367" spans="4:27" ht="13.9" customHeight="1">
      <c r="D367" s="8"/>
      <c r="E367" s="9"/>
      <c r="F367" s="19"/>
      <c r="G367" s="19"/>
      <c r="H367" s="19"/>
      <c r="J367" s="45"/>
      <c r="K367" s="45"/>
      <c r="L367" s="45"/>
      <c r="M367" s="43"/>
      <c r="O367" s="12">
        <f t="shared" si="39"/>
        <v>29.5</v>
      </c>
      <c r="P367" s="13">
        <v>354</v>
      </c>
      <c r="Q367" s="22">
        <v>2.9883829261365902E-2</v>
      </c>
      <c r="R367" s="19">
        <f t="shared" si="40"/>
        <v>2.5540134887999111E-2</v>
      </c>
      <c r="S367" s="22">
        <v>3.1521109729359509E-2</v>
      </c>
      <c r="T367" s="19">
        <f t="shared" si="41"/>
        <v>3.7683638475683567E-2</v>
      </c>
      <c r="U367" s="24">
        <v>3.5454032529472324E-2</v>
      </c>
      <c r="V367" s="24">
        <f t="shared" si="42"/>
        <v>3.8957164074020945E-2</v>
      </c>
      <c r="W367" s="23">
        <f t="shared" si="43"/>
        <v>3.1864834727506341E-3</v>
      </c>
      <c r="X367" s="24">
        <v>3.466365334815702E-2</v>
      </c>
      <c r="Y367" s="24">
        <f t="shared" si="44"/>
        <v>3.8691773688907638E-2</v>
      </c>
      <c r="Z367" s="23">
        <f t="shared" si="45"/>
        <v>3.1648369755017391E-3</v>
      </c>
      <c r="AA367" s="36"/>
    </row>
    <row r="368" spans="4:27" ht="13.9" customHeight="1">
      <c r="D368" s="8"/>
      <c r="E368" s="9"/>
      <c r="F368" s="19"/>
      <c r="G368" s="19"/>
      <c r="H368" s="19"/>
      <c r="J368" s="45"/>
      <c r="K368" s="45"/>
      <c r="L368" s="45"/>
      <c r="M368" s="43"/>
      <c r="O368" s="12">
        <f t="shared" si="39"/>
        <v>29.583333333333332</v>
      </c>
      <c r="P368" s="13">
        <v>355</v>
      </c>
      <c r="Q368" s="22">
        <v>2.9871567699674584E-2</v>
      </c>
      <c r="R368" s="19">
        <f t="shared" si="40"/>
        <v>2.5494971174571557E-2</v>
      </c>
      <c r="S368" s="22">
        <v>3.1538417462165569E-2</v>
      </c>
      <c r="T368" s="19">
        <f t="shared" si="41"/>
        <v>3.7742686174528695E-2</v>
      </c>
      <c r="U368" s="24">
        <v>3.5463883897481452E-2</v>
      </c>
      <c r="V368" s="24">
        <f t="shared" si="42"/>
        <v>3.8998769070918593E-2</v>
      </c>
      <c r="W368" s="23">
        <f t="shared" si="43"/>
        <v>3.189867102189492E-3</v>
      </c>
      <c r="X368" s="24">
        <v>3.4674978197616557E-2</v>
      </c>
      <c r="Y368" s="24">
        <f t="shared" si="44"/>
        <v>3.873691821533809E-2</v>
      </c>
      <c r="Z368" s="23">
        <f t="shared" si="45"/>
        <v>3.168510100388211E-3</v>
      </c>
      <c r="AA368" s="36"/>
    </row>
    <row r="369" spans="4:27" ht="13.9" customHeight="1">
      <c r="D369" s="8"/>
      <c r="E369" s="9"/>
      <c r="F369" s="19"/>
      <c r="G369" s="19"/>
      <c r="H369" s="19"/>
      <c r="J369" s="45"/>
      <c r="K369" s="45"/>
      <c r="L369" s="45"/>
      <c r="M369" s="43"/>
      <c r="O369" s="12">
        <f t="shared" si="39"/>
        <v>29.666666666666668</v>
      </c>
      <c r="P369" s="13">
        <v>356</v>
      </c>
      <c r="Q369" s="22">
        <v>2.985924776644433E-2</v>
      </c>
      <c r="R369" s="19">
        <f t="shared" si="40"/>
        <v>2.5449447820387272E-2</v>
      </c>
      <c r="S369" s="22">
        <v>3.155579312861656E-2</v>
      </c>
      <c r="T369" s="19">
        <f t="shared" si="41"/>
        <v>3.78010552383512E-2</v>
      </c>
      <c r="U369" s="24">
        <v>3.5473796487465403E-2</v>
      </c>
      <c r="V369" s="24">
        <f t="shared" si="42"/>
        <v>3.9039933606049848E-2</v>
      </c>
      <c r="W369" s="23">
        <f t="shared" si="43"/>
        <v>3.1932147654940568E-3</v>
      </c>
      <c r="X369" s="24">
        <v>3.4686365865946867E-2</v>
      </c>
      <c r="Y369" s="24">
        <f t="shared" si="44"/>
        <v>3.8781575483232134E-2</v>
      </c>
      <c r="Z369" s="23">
        <f t="shared" si="45"/>
        <v>3.1721434099625245E-3</v>
      </c>
      <c r="AA369" s="36"/>
    </row>
    <row r="370" spans="4:27" ht="13.9" customHeight="1">
      <c r="D370" s="8"/>
      <c r="E370" s="9"/>
      <c r="F370" s="19"/>
      <c r="G370" s="19"/>
      <c r="H370" s="19"/>
      <c r="J370" s="45"/>
      <c r="K370" s="45"/>
      <c r="L370" s="45"/>
      <c r="M370" s="43"/>
      <c r="O370" s="12">
        <f t="shared" si="39"/>
        <v>29.75</v>
      </c>
      <c r="P370" s="13">
        <v>357</v>
      </c>
      <c r="Q370" s="22">
        <v>2.9846868938199433E-2</v>
      </c>
      <c r="R370" s="19">
        <f t="shared" si="40"/>
        <v>2.5403562523567569E-2</v>
      </c>
      <c r="S370" s="22">
        <v>3.1573234264809846E-2</v>
      </c>
      <c r="T370" s="19">
        <f t="shared" si="41"/>
        <v>3.7858753970331227E-2</v>
      </c>
      <c r="U370" s="24">
        <v>3.5483768553278283E-2</v>
      </c>
      <c r="V370" s="24">
        <f t="shared" si="42"/>
        <v>3.9080662594158655E-2</v>
      </c>
      <c r="W370" s="23">
        <f t="shared" si="43"/>
        <v>3.1965268669846836E-3</v>
      </c>
      <c r="X370" s="24">
        <v>3.4697814463387155E-2</v>
      </c>
      <c r="Y370" s="24">
        <f t="shared" si="44"/>
        <v>3.8825751047341317E-2</v>
      </c>
      <c r="Z370" s="23">
        <f t="shared" si="45"/>
        <v>3.1757373617165019E-3</v>
      </c>
      <c r="AA370" s="36"/>
    </row>
    <row r="371" spans="4:27" ht="13.9" customHeight="1">
      <c r="D371" s="8"/>
      <c r="E371" s="9"/>
      <c r="F371" s="19"/>
      <c r="G371" s="19"/>
      <c r="H371" s="19"/>
      <c r="J371" s="45"/>
      <c r="K371" s="45"/>
      <c r="L371" s="45"/>
      <c r="M371" s="43"/>
      <c r="O371" s="12">
        <f t="shared" si="39"/>
        <v>29.833333333333332</v>
      </c>
      <c r="P371" s="13">
        <v>358</v>
      </c>
      <c r="Q371" s="22">
        <v>2.9834430690779179E-2</v>
      </c>
      <c r="R371" s="19">
        <f t="shared" si="40"/>
        <v>2.535731297266075E-2</v>
      </c>
      <c r="S371" s="22">
        <v>3.1590738457629053E-2</v>
      </c>
      <c r="T371" s="19">
        <f t="shared" si="41"/>
        <v>3.7915790560214768E-2</v>
      </c>
      <c r="U371" s="24">
        <v>3.5493798382074448E-2</v>
      </c>
      <c r="V371" s="24">
        <f t="shared" si="42"/>
        <v>3.9120960889899026E-2</v>
      </c>
      <c r="W371" s="23">
        <f t="shared" si="43"/>
        <v>3.1998038059510847E-3</v>
      </c>
      <c r="X371" s="24">
        <v>3.4709322136871723E-2</v>
      </c>
      <c r="Y371" s="24">
        <f t="shared" si="44"/>
        <v>3.8869450393394622E-2</v>
      </c>
      <c r="Z371" s="23">
        <f t="shared" si="45"/>
        <v>3.1792924073101858E-3</v>
      </c>
      <c r="AA371" s="36"/>
    </row>
    <row r="372" spans="4:27" ht="13.9" customHeight="1">
      <c r="D372" s="8"/>
      <c r="E372" s="9"/>
      <c r="F372" s="19"/>
      <c r="G372" s="19"/>
      <c r="H372" s="19"/>
      <c r="J372" s="45"/>
      <c r="K372" s="45"/>
      <c r="L372" s="45"/>
      <c r="M372" s="43"/>
      <c r="O372" s="12">
        <f t="shared" si="39"/>
        <v>29.916666666666668</v>
      </c>
      <c r="P372" s="13">
        <v>359</v>
      </c>
      <c r="Q372" s="22">
        <v>2.9821932499319415E-2</v>
      </c>
      <c r="R372" s="19">
        <f t="shared" si="40"/>
        <v>2.5310696847611558E-2</v>
      </c>
      <c r="S372" s="22">
        <v>3.160830334371445E-2</v>
      </c>
      <c r="T372" s="19">
        <f t="shared" si="41"/>
        <v>3.7972173087212902E-2</v>
      </c>
      <c r="U372" s="24">
        <v>3.5503884293673904E-2</v>
      </c>
      <c r="V372" s="24">
        <f t="shared" si="42"/>
        <v>3.9160833288810259E-2</v>
      </c>
      <c r="W372" s="23">
        <f t="shared" si="43"/>
        <v>3.2030459767504738E-3</v>
      </c>
      <c r="X372" s="24">
        <v>3.4720887069323192E-2</v>
      </c>
      <c r="Y372" s="24">
        <f t="shared" si="44"/>
        <v>3.8912678938176626E-2</v>
      </c>
      <c r="Z372" s="23">
        <f t="shared" si="45"/>
        <v>3.1828089927283809E-3</v>
      </c>
      <c r="AA372" s="36"/>
    </row>
    <row r="373" spans="4:27" ht="13.9" customHeight="1">
      <c r="D373" s="8"/>
      <c r="E373" s="9"/>
      <c r="F373" s="19"/>
      <c r="G373" s="19"/>
      <c r="H373" s="19"/>
      <c r="J373" s="45"/>
      <c r="K373" s="45"/>
      <c r="L373" s="45"/>
      <c r="M373" s="43"/>
      <c r="O373" s="12">
        <f t="shared" si="39"/>
        <v>30</v>
      </c>
      <c r="P373" s="13">
        <v>360</v>
      </c>
      <c r="Q373" s="22">
        <v>2.9809373838236342E-2</v>
      </c>
      <c r="R373" s="19">
        <f t="shared" si="40"/>
        <v>2.5263884392540348E-2</v>
      </c>
      <c r="S373" s="22">
        <v>3.1625926608459531E-2</v>
      </c>
      <c r="T373" s="19">
        <f t="shared" si="41"/>
        <v>3.8027909521419989E-2</v>
      </c>
      <c r="U373" s="24">
        <v>3.55140246399408E-2</v>
      </c>
      <c r="V373" s="24">
        <f t="shared" si="42"/>
        <v>3.9200284528525087E-2</v>
      </c>
      <c r="W373" s="23">
        <f t="shared" si="43"/>
        <v>3.2062537688879456E-3</v>
      </c>
      <c r="X373" s="24">
        <v>3.4732507478956842E-2</v>
      </c>
      <c r="Y373" s="24">
        <f t="shared" si="44"/>
        <v>3.8955442031288312E-2</v>
      </c>
      <c r="Z373" s="23">
        <f t="shared" si="45"/>
        <v>3.186287558291534E-3</v>
      </c>
      <c r="AA373" s="36"/>
    </row>
    <row r="374" spans="4:27" ht="13.9" customHeight="1">
      <c r="D374" s="8"/>
      <c r="E374" s="9"/>
      <c r="F374" s="19"/>
      <c r="G374" s="19"/>
      <c r="H374" s="19"/>
      <c r="J374" s="45"/>
      <c r="K374" s="45"/>
      <c r="L374" s="45"/>
      <c r="M374" s="43"/>
      <c r="O374" s="12">
        <f t="shared" si="39"/>
        <v>30.083333333333332</v>
      </c>
      <c r="P374" s="13">
        <v>361</v>
      </c>
      <c r="Q374" s="22">
        <v>2.9796754661366665E-2</v>
      </c>
      <c r="R374" s="19">
        <f t="shared" si="40"/>
        <v>2.521756317777557E-2</v>
      </c>
      <c r="S374" s="22">
        <v>3.1643605985027135E-2</v>
      </c>
      <c r="T374" s="19">
        <f t="shared" si="41"/>
        <v>3.8083007725054907E-2</v>
      </c>
      <c r="U374" s="24">
        <v>3.5524217804176805E-2</v>
      </c>
      <c r="V374" s="24">
        <f t="shared" si="42"/>
        <v>3.9239319288291608E-2</v>
      </c>
      <c r="W374" s="23">
        <f t="shared" si="43"/>
        <v>3.2094275671170625E-3</v>
      </c>
      <c r="X374" s="24">
        <v>3.474418161860271E-2</v>
      </c>
      <c r="Y374" s="24">
        <f t="shared" si="44"/>
        <v>3.8997744955531877E-2</v>
      </c>
      <c r="Z374" s="23">
        <f t="shared" si="45"/>
        <v>3.1897285387985086E-3</v>
      </c>
      <c r="AA374" s="36"/>
    </row>
    <row r="375" spans="4:27" ht="13.9" customHeight="1">
      <c r="D375" s="8"/>
      <c r="E375" s="9"/>
      <c r="F375" s="19"/>
      <c r="G375" s="19"/>
      <c r="H375" s="19"/>
      <c r="J375" s="45"/>
      <c r="K375" s="45"/>
      <c r="L375" s="45"/>
      <c r="M375" s="43"/>
      <c r="O375" s="12">
        <f t="shared" si="39"/>
        <v>30.166666666666668</v>
      </c>
      <c r="P375" s="13">
        <v>362</v>
      </c>
      <c r="Q375" s="22">
        <v>2.9784076830845496E-2</v>
      </c>
      <c r="R375" s="19">
        <f t="shared" si="40"/>
        <v>2.5171902387965295E-2</v>
      </c>
      <c r="S375" s="22">
        <v>3.1661339253386211E-2</v>
      </c>
      <c r="T375" s="19">
        <f t="shared" si="41"/>
        <v>3.813747545535251E-2</v>
      </c>
      <c r="U375" s="24">
        <v>3.5534462200522476E-2</v>
      </c>
      <c r="V375" s="24">
        <f t="shared" si="42"/>
        <v>3.9277942191839443E-2</v>
      </c>
      <c r="W375" s="23">
        <f t="shared" si="43"/>
        <v>3.2125677514025508E-3</v>
      </c>
      <c r="X375" s="24">
        <v>3.4755907775039452E-2</v>
      </c>
      <c r="Y375" s="24">
        <f t="shared" si="44"/>
        <v>3.903959292843906E-2</v>
      </c>
      <c r="Z375" s="23">
        <f t="shared" si="45"/>
        <v>3.1931323635618902E-3</v>
      </c>
      <c r="AA375" s="36"/>
    </row>
    <row r="376" spans="4:27" ht="13.9" customHeight="1">
      <c r="D376" s="8"/>
      <c r="E376" s="9"/>
      <c r="F376" s="19"/>
      <c r="G376" s="19"/>
      <c r="H376" s="19"/>
      <c r="J376" s="45"/>
      <c r="K376" s="45"/>
      <c r="L376" s="45"/>
      <c r="M376" s="43"/>
      <c r="O376" s="12">
        <f t="shared" si="39"/>
        <v>30.25</v>
      </c>
      <c r="P376" s="13">
        <v>363</v>
      </c>
      <c r="Q376" s="22">
        <v>2.9771342656580213E-2</v>
      </c>
      <c r="R376" s="19">
        <f t="shared" si="40"/>
        <v>2.5126898564871603E-2</v>
      </c>
      <c r="S376" s="22">
        <v>3.1679124239372802E-2</v>
      </c>
      <c r="T376" s="19">
        <f t="shared" si="41"/>
        <v>3.8191320364122205E-2</v>
      </c>
      <c r="U376" s="24">
        <v>3.5544756273376166E-2</v>
      </c>
      <c r="V376" s="24">
        <f t="shared" si="42"/>
        <v>3.9316157805721064E-2</v>
      </c>
      <c r="W376" s="23">
        <f t="shared" si="43"/>
        <v>3.2156746971536698E-3</v>
      </c>
      <c r="X376" s="24">
        <v>3.4767684268343313E-2</v>
      </c>
      <c r="Y376" s="24">
        <f t="shared" si="44"/>
        <v>3.908099110236285E-2</v>
      </c>
      <c r="Z376" s="23">
        <f t="shared" si="45"/>
        <v>3.1964994565329974E-3</v>
      </c>
      <c r="AA376" s="36"/>
    </row>
    <row r="377" spans="4:27" ht="13.9" customHeight="1">
      <c r="D377" s="8"/>
      <c r="E377" s="9"/>
      <c r="F377" s="19"/>
      <c r="G377" s="19"/>
      <c r="H377" s="19"/>
      <c r="J377" s="45"/>
      <c r="K377" s="45"/>
      <c r="L377" s="45"/>
      <c r="M377" s="43"/>
      <c r="O377" s="12">
        <f t="shared" si="39"/>
        <v>30.333333333333332</v>
      </c>
      <c r="P377" s="13">
        <v>364</v>
      </c>
      <c r="Q377" s="22">
        <v>2.9758554413713556E-2</v>
      </c>
      <c r="R377" s="19">
        <f t="shared" si="40"/>
        <v>2.5082548274855565E-2</v>
      </c>
      <c r="S377" s="22">
        <v>3.1696958813765441E-2</v>
      </c>
      <c r="T377" s="19">
        <f t="shared" si="41"/>
        <v>3.8244550002272781E-2</v>
      </c>
      <c r="U377" s="24">
        <v>3.5555098496819371E-2</v>
      </c>
      <c r="V377" s="24">
        <f t="shared" si="42"/>
        <v>3.9353970642236558E-2</v>
      </c>
      <c r="W377" s="23">
        <f t="shared" si="43"/>
        <v>3.2187487750932053E-3</v>
      </c>
      <c r="X377" s="24">
        <v>3.477950945124908E-2</v>
      </c>
      <c r="Y377" s="24">
        <f t="shared" si="44"/>
        <v>3.912194456636775E-2</v>
      </c>
      <c r="Z377" s="23">
        <f t="shared" si="45"/>
        <v>3.1998302363116515E-3</v>
      </c>
      <c r="AA377" s="36"/>
    </row>
    <row r="378" spans="4:27" ht="13.9" customHeight="1">
      <c r="D378" s="8"/>
      <c r="E378" s="9"/>
      <c r="F378" s="19"/>
      <c r="G378" s="19"/>
      <c r="H378" s="19"/>
      <c r="J378" s="45"/>
      <c r="K378" s="45"/>
      <c r="L378" s="45"/>
      <c r="M378" s="43"/>
      <c r="O378" s="12">
        <f t="shared" si="39"/>
        <v>30.416666666666668</v>
      </c>
      <c r="P378" s="13">
        <v>365</v>
      </c>
      <c r="Q378" s="22">
        <v>2.9745714343162089E-2</v>
      </c>
      <c r="R378" s="19">
        <f t="shared" si="40"/>
        <v>2.503884811051682E-2</v>
      </c>
      <c r="S378" s="22">
        <v>3.1714840891387874E-2</v>
      </c>
      <c r="T378" s="19">
        <f t="shared" si="41"/>
        <v>3.829717181789416E-2</v>
      </c>
      <c r="U378" s="24">
        <v>3.5565487374058513E-2</v>
      </c>
      <c r="V378" s="24">
        <f t="shared" si="42"/>
        <v>3.9391385158482617E-2</v>
      </c>
      <c r="W378" s="23">
        <f t="shared" si="43"/>
        <v>3.2217903514939472E-3</v>
      </c>
      <c r="X378" s="24">
        <v>3.4791381708525915E-2</v>
      </c>
      <c r="Y378" s="24">
        <f t="shared" si="44"/>
        <v>3.916245834646026E-2</v>
      </c>
      <c r="Z378" s="23">
        <f t="shared" si="45"/>
        <v>3.2031251163018304E-3</v>
      </c>
      <c r="AA378" s="36"/>
    </row>
    <row r="379" spans="4:27" ht="13.9" customHeight="1">
      <c r="D379" s="8"/>
      <c r="E379" s="9"/>
      <c r="F379" s="19"/>
      <c r="G379" s="19"/>
      <c r="H379" s="19"/>
      <c r="J379" s="45"/>
      <c r="K379" s="45"/>
      <c r="L379" s="45"/>
      <c r="M379" s="43"/>
      <c r="O379" s="12">
        <f t="shared" si="39"/>
        <v>30.5</v>
      </c>
      <c r="P379" s="13">
        <v>366</v>
      </c>
      <c r="Q379" s="22">
        <v>2.9732824652149992E-2</v>
      </c>
      <c r="R379" s="19">
        <f t="shared" si="40"/>
        <v>2.4995792743550016E-2</v>
      </c>
      <c r="S379" s="22">
        <v>3.1732768430222436E-2</v>
      </c>
      <c r="T379" s="19">
        <f t="shared" si="41"/>
        <v>3.8349193161582917E-2</v>
      </c>
      <c r="U379" s="24">
        <v>3.5575921436873825E-2</v>
      </c>
      <c r="V379" s="24">
        <f t="shared" si="42"/>
        <v>3.9428405758746177E-2</v>
      </c>
      <c r="W379" s="23">
        <f t="shared" si="43"/>
        <v>3.2247997881051926E-3</v>
      </c>
      <c r="X379" s="24">
        <v>3.4803299456364511E-2</v>
      </c>
      <c r="Y379" s="24">
        <f t="shared" si="44"/>
        <v>3.9202537406654692E-2</v>
      </c>
      <c r="Z379" s="23">
        <f t="shared" si="45"/>
        <v>3.2063845047323181E-3</v>
      </c>
      <c r="AA379" s="36"/>
    </row>
    <row r="380" spans="4:27" ht="13.9" customHeight="1">
      <c r="D380" s="8"/>
      <c r="E380" s="9"/>
      <c r="F380" s="19"/>
      <c r="G380" s="19"/>
      <c r="H380" s="19"/>
      <c r="J380" s="45"/>
      <c r="K380" s="45"/>
      <c r="L380" s="45"/>
      <c r="M380" s="43"/>
      <c r="O380" s="12">
        <f t="shared" si="39"/>
        <v>30.583333333333332</v>
      </c>
      <c r="P380" s="13">
        <v>367</v>
      </c>
      <c r="Q380" s="22">
        <v>2.9719887509404463E-2</v>
      </c>
      <c r="R380" s="19">
        <f t="shared" si="40"/>
        <v>2.4953371035904226E-2</v>
      </c>
      <c r="S380" s="22">
        <v>3.1750739430551178E-2</v>
      </c>
      <c r="T380" s="19">
        <f t="shared" si="41"/>
        <v>3.8400621284440328E-2</v>
      </c>
      <c r="U380" s="24">
        <v>3.5586399245083555E-2</v>
      </c>
      <c r="V380" s="24">
        <f t="shared" si="42"/>
        <v>3.9465036793612684E-2</v>
      </c>
      <c r="W380" s="23">
        <f t="shared" si="43"/>
        <v>3.2277774423470351E-3</v>
      </c>
      <c r="X380" s="24">
        <v>3.4815261141777354E-2</v>
      </c>
      <c r="Y380" s="24">
        <f t="shared" si="44"/>
        <v>3.9242186649657729E-2</v>
      </c>
      <c r="Z380" s="23">
        <f t="shared" si="45"/>
        <v>3.2096088047448568E-3</v>
      </c>
      <c r="AA380" s="36"/>
    </row>
    <row r="381" spans="4:27" ht="13.9" customHeight="1">
      <c r="D381" s="8"/>
      <c r="E381" s="9"/>
      <c r="F381" s="19"/>
      <c r="G381" s="19"/>
      <c r="H381" s="19"/>
      <c r="J381" s="45"/>
      <c r="K381" s="45"/>
      <c r="L381" s="45"/>
      <c r="M381" s="43"/>
      <c r="O381" s="12">
        <f t="shared" si="39"/>
        <v>30.666666666666668</v>
      </c>
      <c r="P381" s="13">
        <v>368</v>
      </c>
      <c r="Q381" s="22">
        <v>2.970690502981288E-2</v>
      </c>
      <c r="R381" s="19">
        <f t="shared" si="40"/>
        <v>2.4911577724602507E-2</v>
      </c>
      <c r="S381" s="22">
        <v>3.1768751934107442E-2</v>
      </c>
      <c r="T381" s="19">
        <f t="shared" si="41"/>
        <v>3.8451463342537906E-2</v>
      </c>
      <c r="U381" s="24">
        <v>3.5596919386014836E-2</v>
      </c>
      <c r="V381" s="24">
        <f t="shared" si="42"/>
        <v>3.9501282562254714E-2</v>
      </c>
      <c r="W381" s="23">
        <f t="shared" si="43"/>
        <v>3.2307236672397543E-3</v>
      </c>
      <c r="X381" s="24">
        <v>3.4827265242011185E-2</v>
      </c>
      <c r="Y381" s="24">
        <f t="shared" si="44"/>
        <v>3.9281410918782012E-2</v>
      </c>
      <c r="Z381" s="23">
        <f t="shared" si="45"/>
        <v>3.2127984144516564E-3</v>
      </c>
      <c r="AA381" s="36"/>
    </row>
    <row r="382" spans="4:27" ht="13.9" customHeight="1">
      <c r="D382" s="8"/>
      <c r="E382" s="9"/>
      <c r="F382" s="19"/>
      <c r="G382" s="19"/>
      <c r="H382" s="19"/>
      <c r="J382" s="45"/>
      <c r="K382" s="45"/>
      <c r="L382" s="45"/>
      <c r="M382" s="43"/>
      <c r="O382" s="12">
        <f t="shared" si="39"/>
        <v>30.75</v>
      </c>
      <c r="P382" s="13">
        <v>369</v>
      </c>
      <c r="Q382" s="22">
        <v>2.9693879291140757E-2</v>
      </c>
      <c r="R382" s="19">
        <f t="shared" si="40"/>
        <v>2.4870409518945591E-2</v>
      </c>
      <c r="S382" s="22">
        <v>3.1786804023252069E-2</v>
      </c>
      <c r="T382" s="19">
        <f t="shared" si="41"/>
        <v>3.8501726395614888E-2</v>
      </c>
      <c r="U382" s="24">
        <v>3.5607480473989428E-2</v>
      </c>
      <c r="V382" s="24">
        <f t="shared" si="42"/>
        <v>3.9537147311294651E-2</v>
      </c>
      <c r="W382" s="23">
        <f t="shared" si="43"/>
        <v>3.2336388115914438E-3</v>
      </c>
      <c r="X382" s="24">
        <v>3.48393102639728E-2</v>
      </c>
      <c r="Y382" s="24">
        <f t="shared" si="44"/>
        <v>3.9320214996582115E-2</v>
      </c>
      <c r="Z382" s="23">
        <f t="shared" si="45"/>
        <v>3.2159537270917138E-3</v>
      </c>
      <c r="AA382" s="36"/>
    </row>
    <row r="383" spans="4:27" ht="13.9" customHeight="1">
      <c r="D383" s="8"/>
      <c r="E383" s="9"/>
      <c r="F383" s="19"/>
      <c r="G383" s="19"/>
      <c r="H383" s="19"/>
      <c r="J383" s="45"/>
      <c r="K383" s="45"/>
      <c r="L383" s="45"/>
      <c r="M383" s="43"/>
      <c r="O383" s="12">
        <f t="shared" si="39"/>
        <v>30.833333333333332</v>
      </c>
      <c r="P383" s="13">
        <v>370</v>
      </c>
      <c r="Q383" s="22">
        <v>2.9680812339883511E-2</v>
      </c>
      <c r="R383" s="19">
        <f t="shared" si="40"/>
        <v>2.4829863154278486E-2</v>
      </c>
      <c r="S383" s="22">
        <v>3.1804893820160496E-2</v>
      </c>
      <c r="T383" s="19">
        <f t="shared" si="41"/>
        <v>3.8551417411587074E-2</v>
      </c>
      <c r="U383" s="24">
        <v>3.5618081149814795E-2</v>
      </c>
      <c r="V383" s="24">
        <f t="shared" si="42"/>
        <v>3.9572635237532738E-2</v>
      </c>
      <c r="W383" s="23">
        <f t="shared" si="43"/>
        <v>3.2365232199069727E-3</v>
      </c>
      <c r="X383" s="24">
        <v>3.4851394743662389E-2</v>
      </c>
      <c r="Y383" s="24">
        <f t="shared" si="44"/>
        <v>3.9358603608348197E-2</v>
      </c>
      <c r="Z383" s="23">
        <f t="shared" si="45"/>
        <v>3.2190751309240095E-3</v>
      </c>
      <c r="AA383" s="36"/>
    </row>
    <row r="384" spans="4:27" ht="13.9" customHeight="1">
      <c r="D384" s="8"/>
      <c r="E384" s="9"/>
      <c r="F384" s="19"/>
      <c r="G384" s="19"/>
      <c r="H384" s="19"/>
      <c r="J384" s="45"/>
      <c r="K384" s="45"/>
      <c r="L384" s="45"/>
      <c r="M384" s="43"/>
      <c r="O384" s="12">
        <f t="shared" si="39"/>
        <v>30.916666666666668</v>
      </c>
      <c r="P384" s="13">
        <v>371</v>
      </c>
      <c r="Q384" s="22">
        <v>2.9667706191753629E-2</v>
      </c>
      <c r="R384" s="19">
        <f t="shared" si="40"/>
        <v>2.4789935393178419E-2</v>
      </c>
      <c r="S384" s="22">
        <v>3.182301948603472E-2</v>
      </c>
      <c r="T384" s="19">
        <f t="shared" si="41"/>
        <v>3.860054326482687E-2</v>
      </c>
      <c r="U384" s="24">
        <v>3.5628720080290499E-2</v>
      </c>
      <c r="V384" s="24">
        <f t="shared" si="42"/>
        <v>3.9607750487092863E-2</v>
      </c>
      <c r="W384" s="23">
        <f t="shared" si="43"/>
        <v>3.239377232609808E-3</v>
      </c>
      <c r="X384" s="24">
        <v>3.486351724562442E-2</v>
      </c>
      <c r="Y384" s="24">
        <f t="shared" si="44"/>
        <v>3.9396581420665822E-2</v>
      </c>
      <c r="Z384" s="23">
        <f t="shared" si="45"/>
        <v>3.2221630095097265E-3</v>
      </c>
      <c r="AA384" s="36"/>
    </row>
    <row r="385" spans="4:27" ht="13.9" customHeight="1">
      <c r="D385" s="8"/>
      <c r="E385" s="9"/>
      <c r="F385" s="19"/>
      <c r="G385" s="19"/>
      <c r="H385" s="19"/>
      <c r="J385" s="45"/>
      <c r="K385" s="45"/>
      <c r="L385" s="45"/>
      <c r="M385" s="43"/>
      <c r="O385" s="12">
        <f t="shared" si="39"/>
        <v>31</v>
      </c>
      <c r="P385" s="13">
        <v>372</v>
      </c>
      <c r="Q385" s="22">
        <v>2.9654562832163611E-2</v>
      </c>
      <c r="R385" s="19">
        <f t="shared" si="40"/>
        <v>2.4750621107722415E-2</v>
      </c>
      <c r="S385" s="22">
        <v>3.1841179220324145E-2</v>
      </c>
      <c r="T385" s="19">
        <f t="shared" si="41"/>
        <v>3.8649110740198278E-2</v>
      </c>
      <c r="U385" s="24">
        <v>3.5639395957721032E-2</v>
      </c>
      <c r="V385" s="24">
        <f t="shared" si="42"/>
        <v>3.9642497156986201E-2</v>
      </c>
      <c r="W385" s="23">
        <f t="shared" si="43"/>
        <v>3.2422011859751798E-3</v>
      </c>
      <c r="X385" s="24">
        <v>3.4875676362403629E-2</v>
      </c>
      <c r="Y385" s="24">
        <f t="shared" si="44"/>
        <v>3.9434153043653941E-2</v>
      </c>
      <c r="Z385" s="23">
        <f t="shared" si="45"/>
        <v>3.2252177416001171E-3</v>
      </c>
      <c r="AA385" s="36"/>
    </row>
    <row r="386" spans="4:27" ht="13.9" customHeight="1">
      <c r="D386" s="8"/>
      <c r="E386" s="9"/>
      <c r="F386" s="19"/>
      <c r="G386" s="19"/>
      <c r="H386" s="19"/>
      <c r="J386" s="45"/>
      <c r="K386" s="45"/>
      <c r="L386" s="45"/>
      <c r="M386" s="43"/>
      <c r="O386" s="12">
        <f t="shared" si="39"/>
        <v>31.083333333333332</v>
      </c>
      <c r="P386" s="13">
        <v>373</v>
      </c>
      <c r="Q386" s="22">
        <v>2.964138421153506E-2</v>
      </c>
      <c r="R386" s="19">
        <f t="shared" si="40"/>
        <v>2.4711909455026992E-2</v>
      </c>
      <c r="S386" s="22">
        <v>3.1859371259969294E-2</v>
      </c>
      <c r="T386" s="19">
        <f t="shared" si="41"/>
        <v>3.8697126532649229E-2</v>
      </c>
      <c r="U386" s="24">
        <v>3.5650107499439976E-2</v>
      </c>
      <c r="V386" s="24">
        <f t="shared" si="42"/>
        <v>3.9676879295114986E-2</v>
      </c>
      <c r="W386" s="23">
        <f t="shared" si="43"/>
        <v>3.2449954122575342E-3</v>
      </c>
      <c r="X386" s="24">
        <v>3.4887870714016556E-2</v>
      </c>
      <c r="Y386" s="24">
        <f t="shared" si="44"/>
        <v>3.9471323031166516E-2</v>
      </c>
      <c r="Z386" s="23">
        <f t="shared" si="45"/>
        <v>3.2282397013170261E-3</v>
      </c>
      <c r="AA386" s="36"/>
    </row>
    <row r="387" spans="4:27" ht="13.9" customHeight="1">
      <c r="D387" s="8"/>
      <c r="E387" s="9"/>
      <c r="F387" s="19"/>
      <c r="G387" s="19"/>
      <c r="H387" s="19"/>
      <c r="J387" s="45"/>
      <c r="K387" s="45"/>
      <c r="L387" s="45"/>
      <c r="M387" s="43"/>
      <c r="O387" s="12">
        <f t="shared" si="39"/>
        <v>31.166666666666668</v>
      </c>
      <c r="P387" s="13">
        <v>374</v>
      </c>
      <c r="Q387" s="22">
        <v>2.9628172230407257E-2</v>
      </c>
      <c r="R387" s="19">
        <f t="shared" si="40"/>
        <v>2.4673795374004159E-2</v>
      </c>
      <c r="S387" s="22">
        <v>3.1877593878657295E-2</v>
      </c>
      <c r="T387" s="19">
        <f t="shared" si="41"/>
        <v>3.874459724934276E-2</v>
      </c>
      <c r="U387" s="24">
        <v>3.5660853447342378E-2</v>
      </c>
      <c r="V387" s="24">
        <f t="shared" si="42"/>
        <v>3.9710900901361867E-2</v>
      </c>
      <c r="W387" s="23">
        <f t="shared" si="43"/>
        <v>3.2477602396920879E-3</v>
      </c>
      <c r="X387" s="24">
        <v>3.4900098947431291E-2</v>
      </c>
      <c r="Y387" s="24">
        <f t="shared" si="44"/>
        <v>3.9508095881471306E-2</v>
      </c>
      <c r="Z387" s="23">
        <f t="shared" si="45"/>
        <v>3.23122925817243E-3</v>
      </c>
      <c r="AA387" s="36"/>
    </row>
    <row r="388" spans="4:27" ht="13.9" customHeight="1">
      <c r="D388" s="8"/>
      <c r="E388" s="9"/>
      <c r="F388" s="19"/>
      <c r="G388" s="19"/>
      <c r="H388" s="19"/>
      <c r="J388" s="45"/>
      <c r="K388" s="45"/>
      <c r="L388" s="45"/>
      <c r="M388" s="43"/>
      <c r="O388" s="12">
        <f t="shared" si="39"/>
        <v>31.25</v>
      </c>
      <c r="P388" s="13">
        <v>375</v>
      </c>
      <c r="Q388" s="22">
        <v>2.9614928755589354E-2</v>
      </c>
      <c r="R388" s="19">
        <f t="shared" si="40"/>
        <v>2.4636275746753755E-2</v>
      </c>
      <c r="S388" s="22">
        <v>3.1895845386094468E-2</v>
      </c>
      <c r="T388" s="19">
        <f t="shared" si="41"/>
        <v>3.8791529411113634E-2</v>
      </c>
      <c r="U388" s="24">
        <v>3.5671632567427558E-2</v>
      </c>
      <c r="V388" s="24">
        <f t="shared" si="42"/>
        <v>3.9744565928740094E-2</v>
      </c>
      <c r="W388" s="23">
        <f t="shared" si="43"/>
        <v>3.2504959925845345E-3</v>
      </c>
      <c r="X388" s="24">
        <v>3.4912359736058551E-2</v>
      </c>
      <c r="Y388" s="24">
        <f t="shared" si="44"/>
        <v>3.9544476038562593E-2</v>
      </c>
      <c r="Z388" s="23">
        <f t="shared" si="45"/>
        <v>3.2341867771248367E-3</v>
      </c>
      <c r="AA388" s="36"/>
    </row>
    <row r="389" spans="4:27" ht="13.9" customHeight="1">
      <c r="D389" s="8"/>
      <c r="E389" s="9"/>
      <c r="F389" s="19"/>
      <c r="G389" s="19"/>
      <c r="H389" s="19"/>
      <c r="J389" s="45"/>
      <c r="K389" s="45"/>
      <c r="L389" s="45"/>
      <c r="M389" s="43"/>
      <c r="O389" s="12">
        <f t="shared" si="39"/>
        <v>31.333333333333332</v>
      </c>
      <c r="P389" s="13">
        <v>376</v>
      </c>
      <c r="Q389" s="22">
        <v>2.9601655625797196E-2</v>
      </c>
      <c r="R389" s="19">
        <f t="shared" si="40"/>
        <v>2.4599347482672229E-2</v>
      </c>
      <c r="S389" s="22">
        <v>3.1914124127295107E-2</v>
      </c>
      <c r="T389" s="19">
        <f t="shared" si="41"/>
        <v>3.8837929452939068E-2</v>
      </c>
      <c r="U389" s="24">
        <v>3.5682443649351914E-2</v>
      </c>
      <c r="V389" s="24">
        <f t="shared" si="42"/>
        <v>3.977787828237167E-2</v>
      </c>
      <c r="W389" s="23">
        <f t="shared" si="43"/>
        <v>3.2532029914056348E-3</v>
      </c>
      <c r="X389" s="24">
        <v>3.4924651779252747E-2</v>
      </c>
      <c r="Y389" s="24">
        <f t="shared" si="44"/>
        <v>3.9580467892251114E-2</v>
      </c>
      <c r="Z389" s="23">
        <f t="shared" si="45"/>
        <v>3.2371126186860888E-3</v>
      </c>
      <c r="AA389" s="36"/>
    </row>
    <row r="390" spans="4:27" ht="13.9" customHeight="1">
      <c r="D390" s="8"/>
      <c r="E390" s="9"/>
      <c r="F390" s="19"/>
      <c r="G390" s="19"/>
      <c r="H390" s="19"/>
      <c r="J390" s="45"/>
      <c r="K390" s="45"/>
      <c r="L390" s="45"/>
      <c r="M390" s="43"/>
      <c r="O390" s="12">
        <f t="shared" si="39"/>
        <v>31.416666666666668</v>
      </c>
      <c r="P390" s="13">
        <v>377</v>
      </c>
      <c r="Q390" s="22">
        <v>2.9588354652094973E-2</v>
      </c>
      <c r="R390" s="19">
        <f t="shared" si="40"/>
        <v>2.4563007516891E-2</v>
      </c>
      <c r="S390" s="22">
        <v>3.1932428481882713E-2</v>
      </c>
      <c r="T390" s="19">
        <f t="shared" si="41"/>
        <v>3.8883803726496691E-2</v>
      </c>
      <c r="U390" s="24">
        <v>3.5693285505986827E-2</v>
      </c>
      <c r="V390" s="24">
        <f t="shared" si="42"/>
        <v>3.9810841821969367E-2</v>
      </c>
      <c r="W390" s="23">
        <f t="shared" si="43"/>
        <v>3.2558815527095053E-3</v>
      </c>
      <c r="X390" s="24">
        <v>3.4936973801823257E-2</v>
      </c>
      <c r="Y390" s="24">
        <f t="shared" si="44"/>
        <v>3.9616075779344451E-2</v>
      </c>
      <c r="Z390" s="23">
        <f t="shared" si="45"/>
        <v>3.2400071389322438E-3</v>
      </c>
      <c r="AA390" s="36"/>
    </row>
    <row r="391" spans="4:27" ht="13.9" customHeight="1">
      <c r="D391" s="8"/>
      <c r="E391" s="9"/>
      <c r="F391" s="19"/>
      <c r="G391" s="19"/>
      <c r="H391" s="19"/>
      <c r="J391" s="45"/>
      <c r="K391" s="45"/>
      <c r="L391" s="45"/>
      <c r="M391" s="43"/>
      <c r="O391" s="12">
        <f t="shared" si="39"/>
        <v>31.5</v>
      </c>
      <c r="P391" s="13">
        <v>378</v>
      </c>
      <c r="Q391" s="22">
        <v>2.9575027618324867E-2</v>
      </c>
      <c r="R391" s="19">
        <f t="shared" si="40"/>
        <v>2.4527250927080857E-2</v>
      </c>
      <c r="S391" s="22">
        <v>3.195075686340898E-2</v>
      </c>
      <c r="T391" s="19">
        <f t="shared" si="41"/>
        <v>3.8929158499943162E-2</v>
      </c>
      <c r="U391" s="24">
        <v>3.5704156972989454E-2</v>
      </c>
      <c r="V391" s="24">
        <f t="shared" si="42"/>
        <v>3.9843460361283833E-2</v>
      </c>
      <c r="W391" s="23">
        <f t="shared" si="43"/>
        <v>3.2585319893354558E-3</v>
      </c>
      <c r="X391" s="24">
        <v>3.4949324553555039E-2</v>
      </c>
      <c r="Y391" s="24">
        <f t="shared" si="44"/>
        <v>3.9651303984035602E-2</v>
      </c>
      <c r="Z391" s="23">
        <f t="shared" si="45"/>
        <v>3.2428706895983872E-3</v>
      </c>
      <c r="AA391" s="36"/>
    </row>
    <row r="392" spans="4:27" ht="13.9" customHeight="1">
      <c r="D392" s="8"/>
      <c r="E392" s="9"/>
      <c r="F392" s="19"/>
      <c r="G392" s="19"/>
      <c r="H392" s="19"/>
      <c r="J392" s="45"/>
      <c r="K392" s="45"/>
      <c r="L392" s="45"/>
      <c r="M392" s="43"/>
      <c r="O392" s="12">
        <f t="shared" si="39"/>
        <v>31.583333333333332</v>
      </c>
      <c r="P392" s="13">
        <v>379</v>
      </c>
      <c r="Q392" s="22">
        <v>2.9561676276538496E-2</v>
      </c>
      <c r="R392" s="19">
        <f t="shared" si="40"/>
        <v>2.4492067166163034E-2</v>
      </c>
      <c r="S392" s="22">
        <v>3.1969107718683887E-2</v>
      </c>
      <c r="T392" s="19">
        <f t="shared" si="41"/>
        <v>3.8973999960265404E-2</v>
      </c>
      <c r="U392" s="24">
        <v>3.571505690837995E-2</v>
      </c>
      <c r="V392" s="24">
        <f t="shared" si="42"/>
        <v>3.987573766943564E-2</v>
      </c>
      <c r="W392" s="23">
        <f t="shared" si="43"/>
        <v>3.2611546103651357E-3</v>
      </c>
      <c r="X392" s="24">
        <v>3.4961702808739226E-2</v>
      </c>
      <c r="Y392" s="24">
        <f t="shared" si="44"/>
        <v>3.9686156738968137E-2</v>
      </c>
      <c r="Z392" s="23">
        <f t="shared" si="45"/>
        <v>3.2457036181137155E-3</v>
      </c>
      <c r="AA392" s="36"/>
    </row>
    <row r="393" spans="4:27" ht="13.9" customHeight="1">
      <c r="D393" s="8"/>
      <c r="E393" s="9"/>
      <c r="F393" s="19"/>
      <c r="G393" s="19"/>
      <c r="H393" s="19"/>
      <c r="J393" s="45"/>
      <c r="K393" s="45"/>
      <c r="L393" s="45"/>
      <c r="M393" s="43"/>
      <c r="O393" s="12">
        <f t="shared" si="39"/>
        <v>31.666666666666668</v>
      </c>
      <c r="P393" s="13">
        <v>380</v>
      </c>
      <c r="Q393" s="22">
        <v>2.9548302332535137E-2</v>
      </c>
      <c r="R393" s="19">
        <f t="shared" si="40"/>
        <v>2.4457451378857131E-2</v>
      </c>
      <c r="S393" s="22">
        <v>3.1987479527121332E-2</v>
      </c>
      <c r="T393" s="19">
        <f t="shared" si="41"/>
        <v>3.9018334214248718E-2</v>
      </c>
      <c r="U393" s="24">
        <v>3.572598419212758E-2</v>
      </c>
      <c r="V393" s="24">
        <f t="shared" si="42"/>
        <v>3.990767747064794E-2</v>
      </c>
      <c r="W393" s="23">
        <f t="shared" si="43"/>
        <v>3.2637497212306688E-3</v>
      </c>
      <c r="X393" s="24">
        <v>3.4974107365712825E-2</v>
      </c>
      <c r="Y393" s="24">
        <f t="shared" si="44"/>
        <v>3.9720638226073079E-2</v>
      </c>
      <c r="Z393" s="23">
        <f t="shared" si="45"/>
        <v>3.2485062676874676E-3</v>
      </c>
      <c r="AA393" s="36"/>
    </row>
    <row r="394" spans="4:27" ht="13.9" customHeight="1">
      <c r="D394" s="8"/>
      <c r="E394" s="9"/>
      <c r="F394" s="19"/>
      <c r="G394" s="19"/>
      <c r="H394" s="19"/>
      <c r="J394" s="45"/>
      <c r="K394" s="45"/>
      <c r="L394" s="45"/>
      <c r="M394" s="43"/>
      <c r="O394" s="12">
        <f t="shared" si="39"/>
        <v>31.75</v>
      </c>
      <c r="P394" s="13">
        <v>381</v>
      </c>
      <c r="Q394" s="22">
        <v>2.9534907461477689E-2</v>
      </c>
      <c r="R394" s="19">
        <f t="shared" si="40"/>
        <v>2.4423400623370561E-2</v>
      </c>
      <c r="S394" s="22">
        <v>3.2005870800099201E-2</v>
      </c>
      <c r="T394" s="19">
        <f t="shared" si="41"/>
        <v>3.9062167289232397E-2</v>
      </c>
      <c r="U394" s="24">
        <v>3.5736937725744156E-2</v>
      </c>
      <c r="V394" s="24">
        <f t="shared" si="42"/>
        <v>3.9939283445678431E-2</v>
      </c>
      <c r="W394" s="23">
        <f t="shared" si="43"/>
        <v>3.2663176236951141E-3</v>
      </c>
      <c r="X394" s="24">
        <v>3.4986537046408861E-2</v>
      </c>
      <c r="Y394" s="24">
        <f t="shared" si="44"/>
        <v>3.9754752576456776E-2</v>
      </c>
      <c r="Z394" s="23">
        <f t="shared" si="45"/>
        <v>3.2512789773790907E-3</v>
      </c>
      <c r="AA394" s="36"/>
    </row>
    <row r="395" spans="4:27" ht="13.9" customHeight="1">
      <c r="D395" s="8"/>
      <c r="E395" s="9"/>
      <c r="F395" s="19"/>
      <c r="G395" s="19"/>
      <c r="H395" s="19"/>
      <c r="J395" s="45"/>
      <c r="K395" s="45"/>
      <c r="L395" s="45"/>
      <c r="M395" s="43"/>
      <c r="O395" s="12">
        <f t="shared" si="39"/>
        <v>31.833333333333332</v>
      </c>
      <c r="P395" s="13">
        <v>382</v>
      </c>
      <c r="Q395" s="22">
        <v>2.9521493313323433E-2</v>
      </c>
      <c r="R395" s="19">
        <f t="shared" si="40"/>
        <v>2.4389911984831869E-2</v>
      </c>
      <c r="S395" s="22">
        <v>3.2024280080330758E-2</v>
      </c>
      <c r="T395" s="19">
        <f t="shared" si="41"/>
        <v>3.9105505134666485E-2</v>
      </c>
      <c r="U395" s="24">
        <v>3.5747916431886351E-2</v>
      </c>
      <c r="V395" s="24">
        <f t="shared" si="42"/>
        <v>3.9970559232322511E-2</v>
      </c>
      <c r="W395" s="23">
        <f t="shared" si="43"/>
        <v>3.268858615968151E-3</v>
      </c>
      <c r="X395" s="24">
        <v>3.4998990695912502E-2</v>
      </c>
      <c r="Y395" s="24">
        <f t="shared" si="44"/>
        <v>3.9788503871858172E-2</v>
      </c>
      <c r="Z395" s="23">
        <f t="shared" si="45"/>
        <v>3.2540220820902466E-3</v>
      </c>
      <c r="AA395" s="36"/>
    </row>
    <row r="396" spans="4:27" ht="13.9" customHeight="1">
      <c r="D396" s="8"/>
      <c r="E396" s="9"/>
      <c r="F396" s="19"/>
      <c r="G396" s="19"/>
      <c r="H396" s="19"/>
      <c r="J396" s="45"/>
      <c r="K396" s="45"/>
      <c r="L396" s="45"/>
      <c r="M396" s="43"/>
      <c r="O396" s="12">
        <f t="shared" si="39"/>
        <v>31.916666666666668</v>
      </c>
      <c r="P396" s="13">
        <v>383</v>
      </c>
      <c r="Q396" s="22">
        <v>2.9508061513220829E-2</v>
      </c>
      <c r="R396" s="19">
        <f t="shared" si="40"/>
        <v>2.4356982574714081E-2</v>
      </c>
      <c r="S396" s="22">
        <v>3.2042705941249805E-2</v>
      </c>
      <c r="T396" s="19">
        <f t="shared" si="41"/>
        <v>3.9148353623139842E-2</v>
      </c>
      <c r="U396" s="24">
        <v>3.5758919253966459E-2</v>
      </c>
      <c r="V396" s="24">
        <f t="shared" si="42"/>
        <v>4.0001508424791332E-2</v>
      </c>
      <c r="W396" s="23">
        <f t="shared" si="43"/>
        <v>3.2713729927491553E-3</v>
      </c>
      <c r="X396" s="24">
        <v>3.5011467182029188E-2</v>
      </c>
      <c r="Y396" s="24">
        <f t="shared" si="44"/>
        <v>3.9821896145119551E-2</v>
      </c>
      <c r="Z396" s="23">
        <f t="shared" si="45"/>
        <v>3.25673591268405E-3</v>
      </c>
      <c r="AA396" s="36"/>
    </row>
    <row r="397" spans="4:27" ht="13.9" customHeight="1">
      <c r="D397" s="8"/>
      <c r="E397" s="9"/>
      <c r="F397" s="19"/>
      <c r="G397" s="19"/>
      <c r="H397" s="19"/>
      <c r="J397" s="45"/>
      <c r="K397" s="45"/>
      <c r="L397" s="45"/>
      <c r="M397" s="43"/>
      <c r="O397" s="12">
        <f t="shared" si="39"/>
        <v>32</v>
      </c>
      <c r="P397" s="13">
        <v>384</v>
      </c>
      <c r="Q397" s="22">
        <v>2.9494613661898095E-2</v>
      </c>
      <c r="R397" s="19">
        <f t="shared" si="40"/>
        <v>2.4324607677018273E-2</v>
      </c>
      <c r="S397" s="22">
        <v>3.2061146986408939E-2</v>
      </c>
      <c r="T397" s="19">
        <f t="shared" si="41"/>
        <v>3.9190718551780579E-2</v>
      </c>
      <c r="U397" s="24">
        <v>3.5769945155767591E-2</v>
      </c>
      <c r="V397" s="24">
        <f t="shared" si="42"/>
        <v>4.0032134576398315E-2</v>
      </c>
      <c r="W397" s="23">
        <f t="shared" si="43"/>
        <v>3.2738610451776839E-3</v>
      </c>
      <c r="X397" s="24">
        <v>3.5023965394859191E-2</v>
      </c>
      <c r="Y397" s="24">
        <f t="shared" si="44"/>
        <v>3.9854933380564006E-2</v>
      </c>
      <c r="Z397" s="23">
        <f t="shared" si="45"/>
        <v>3.2594207960245924E-3</v>
      </c>
      <c r="AA397" s="36"/>
    </row>
    <row r="398" spans="4:27" ht="13.9" customHeight="1">
      <c r="D398" s="8"/>
      <c r="E398" s="9"/>
      <c r="F398" s="19"/>
      <c r="G398" s="19"/>
      <c r="H398" s="19"/>
      <c r="J398" s="45"/>
      <c r="K398" s="45"/>
      <c r="L398" s="45"/>
      <c r="M398" s="43"/>
      <c r="O398" s="12">
        <f t="shared" ref="O398:O461" si="46">P398/12</f>
        <v>32.083333333333336</v>
      </c>
      <c r="P398" s="13">
        <v>385</v>
      </c>
      <c r="Q398" s="22">
        <v>2.9481151331206989E-2</v>
      </c>
      <c r="R398" s="19">
        <f t="shared" ref="R398:R461" si="47">(1+Q399)^P399/(1+Q398)^P398-1</f>
        <v>2.4292777042366209E-2</v>
      </c>
      <c r="S398" s="22">
        <v>3.2079601848890471E-2</v>
      </c>
      <c r="T398" s="19">
        <f t="shared" ref="T398:T461" si="48">(1+S399)^P399/(1+S398)^P398-1</f>
        <v>3.9232605642713247E-2</v>
      </c>
      <c r="U398" s="24">
        <v>3.5780993121071303E-2</v>
      </c>
      <c r="V398" s="24">
        <f t="shared" ref="V398:V461" si="49">(1+U399)^P399/(1+U398)^P398-1</f>
        <v>4.006244119814717E-2</v>
      </c>
      <c r="W398" s="23">
        <f t="shared" si="43"/>
        <v>3.2763230610508565E-3</v>
      </c>
      <c r="X398" s="24">
        <v>3.5036484246381727E-2</v>
      </c>
      <c r="Y398" s="24">
        <f t="shared" si="44"/>
        <v>3.9887619515269757E-2</v>
      </c>
      <c r="Z398" s="23">
        <f t="shared" si="45"/>
        <v>3.2620770550089162E-3</v>
      </c>
      <c r="AA398" s="36"/>
    </row>
    <row r="399" spans="4:27" ht="13.9" customHeight="1">
      <c r="D399" s="8"/>
      <c r="E399" s="9"/>
      <c r="F399" s="19"/>
      <c r="G399" s="19"/>
      <c r="H399" s="19"/>
      <c r="J399" s="45"/>
      <c r="K399" s="45"/>
      <c r="L399" s="45"/>
      <c r="M399" s="43"/>
      <c r="O399" s="12">
        <f t="shared" si="46"/>
        <v>32.166666666666664</v>
      </c>
      <c r="P399" s="13">
        <v>386</v>
      </c>
      <c r="Q399" s="22">
        <v>2.9467676050085378E-2</v>
      </c>
      <c r="R399" s="19">
        <f t="shared" si="47"/>
        <v>2.4261486022471912E-2</v>
      </c>
      <c r="S399" s="22">
        <v>3.2098069190727996E-2</v>
      </c>
      <c r="T399" s="19">
        <f t="shared" si="48"/>
        <v>3.9274020544748822E-2</v>
      </c>
      <c r="U399" s="24">
        <v>3.5792062153287896E-2</v>
      </c>
      <c r="V399" s="24">
        <f t="shared" si="49"/>
        <v>4.0092431759941816E-2</v>
      </c>
      <c r="W399" s="23">
        <f t="shared" ref="W399:W462" si="50">(1+V398)^(1/12)-1</f>
        <v>3.2787593247114444E-3</v>
      </c>
      <c r="X399" s="24">
        <v>3.5049022670047059E-2</v>
      </c>
      <c r="Y399" s="24">
        <f t="shared" ref="Y399:Y462" si="51">(1+X400)^P400/(1+X399)^P399-1</f>
        <v>3.9919958438887404E-2</v>
      </c>
      <c r="Z399" s="23">
        <f t="shared" ref="Z399:Z462" si="52">(1+Y398)^(1/12)-1</f>
        <v>3.2647050086707097E-3</v>
      </c>
      <c r="AA399" s="36"/>
    </row>
    <row r="400" spans="4:27" ht="13.9" customHeight="1">
      <c r="D400" s="8"/>
      <c r="E400" s="9"/>
      <c r="F400" s="19"/>
      <c r="G400" s="19"/>
      <c r="H400" s="19"/>
      <c r="J400" s="45"/>
      <c r="K400" s="45"/>
      <c r="L400" s="45"/>
      <c r="M400" s="43"/>
      <c r="O400" s="12">
        <f t="shared" si="46"/>
        <v>32.25</v>
      </c>
      <c r="P400" s="13">
        <v>387</v>
      </c>
      <c r="Q400" s="22">
        <v>2.9454189319654489E-2</v>
      </c>
      <c r="R400" s="19">
        <f t="shared" si="47"/>
        <v>2.4230731853055465E-2</v>
      </c>
      <c r="S400" s="22">
        <v>3.2116547702341069E-2</v>
      </c>
      <c r="T400" s="19">
        <f t="shared" si="48"/>
        <v>3.9314968834237352E-2</v>
      </c>
      <c r="U400" s="24">
        <v>3.5803151275095813E-2</v>
      </c>
      <c r="V400" s="24">
        <f t="shared" si="49"/>
        <v>4.0122109691962171E-2</v>
      </c>
      <c r="W400" s="23">
        <f t="shared" si="50"/>
        <v>3.281170117145793E-3</v>
      </c>
      <c r="X400" s="24">
        <v>3.5061579620375483E-2</v>
      </c>
      <c r="Y400" s="24">
        <f t="shared" si="51"/>
        <v>3.9951953994822098E-2</v>
      </c>
      <c r="Z400" s="23">
        <f t="shared" si="52"/>
        <v>3.2673049721683167E-3</v>
      </c>
      <c r="AA400" s="36"/>
    </row>
    <row r="401" spans="4:27" ht="13.9" customHeight="1">
      <c r="D401" s="8"/>
      <c r="E401" s="9"/>
      <c r="F401" s="19"/>
      <c r="G401" s="19"/>
      <c r="H401" s="19"/>
      <c r="J401" s="45"/>
      <c r="K401" s="45"/>
      <c r="L401" s="45"/>
      <c r="M401" s="43"/>
      <c r="O401" s="12">
        <f t="shared" si="46"/>
        <v>32.333333333333336</v>
      </c>
      <c r="P401" s="13">
        <v>388</v>
      </c>
      <c r="Q401" s="22">
        <v>2.9440692618454722E-2</v>
      </c>
      <c r="R401" s="19">
        <f t="shared" si="47"/>
        <v>2.4200511796481861E-2</v>
      </c>
      <c r="S401" s="22">
        <v>3.2135036101981429E-2</v>
      </c>
      <c r="T401" s="19">
        <f t="shared" si="48"/>
        <v>3.9355456016228141E-2</v>
      </c>
      <c r="U401" s="24">
        <v>3.5814259528089698E-2</v>
      </c>
      <c r="V401" s="24">
        <f t="shared" si="49"/>
        <v>4.0151478383874784E-2</v>
      </c>
      <c r="W401" s="23">
        <f t="shared" si="50"/>
        <v>3.28355571609662E-3</v>
      </c>
      <c r="X401" s="24">
        <v>3.5074154072566088E-2</v>
      </c>
      <c r="Y401" s="24">
        <f t="shared" si="51"/>
        <v>3.9983609980988488E-2</v>
      </c>
      <c r="Z401" s="23">
        <f t="shared" si="52"/>
        <v>3.2698772568793277E-3</v>
      </c>
      <c r="AA401" s="36"/>
    </row>
    <row r="402" spans="4:27" ht="13.9" customHeight="1">
      <c r="D402" s="8"/>
      <c r="E402" s="9"/>
      <c r="F402" s="19"/>
      <c r="G402" s="19"/>
      <c r="H402" s="19"/>
      <c r="J402" s="45"/>
      <c r="K402" s="45"/>
      <c r="L402" s="45"/>
      <c r="M402" s="43"/>
      <c r="O402" s="12">
        <f t="shared" si="46"/>
        <v>32.416666666666664</v>
      </c>
      <c r="P402" s="13">
        <v>389</v>
      </c>
      <c r="Q402" s="22">
        <v>2.9427187402801813E-2</v>
      </c>
      <c r="R402" s="19">
        <f t="shared" si="47"/>
        <v>2.4170823142038111E-2</v>
      </c>
      <c r="S402" s="22">
        <v>3.2153533135190315E-2</v>
      </c>
      <c r="T402" s="19">
        <f t="shared" si="48"/>
        <v>3.9395487525320627E-2</v>
      </c>
      <c r="U402" s="24">
        <v>3.5825385972432011E-2</v>
      </c>
      <c r="V402" s="24">
        <f t="shared" si="49"/>
        <v>4.0180541185871332E-2</v>
      </c>
      <c r="W402" s="23">
        <f t="shared" si="50"/>
        <v>3.2859163959999549E-3</v>
      </c>
      <c r="X402" s="24">
        <v>3.5086745022111954E-2</v>
      </c>
      <c r="Y402" s="24">
        <f t="shared" si="51"/>
        <v>4.0014930149829597E-2</v>
      </c>
      <c r="Z402" s="23">
        <f t="shared" si="52"/>
        <v>3.2724221704645284E-3</v>
      </c>
      <c r="AA402" s="36"/>
    </row>
    <row r="403" spans="4:27" ht="13.9" customHeight="1">
      <c r="D403" s="8"/>
      <c r="E403" s="9"/>
      <c r="F403" s="19"/>
      <c r="G403" s="19"/>
      <c r="H403" s="19"/>
      <c r="J403" s="45"/>
      <c r="K403" s="45"/>
      <c r="L403" s="45"/>
      <c r="M403" s="43"/>
      <c r="O403" s="12">
        <f t="shared" si="46"/>
        <v>32.5</v>
      </c>
      <c r="P403" s="13">
        <v>390</v>
      </c>
      <c r="Q403" s="22">
        <v>2.941367510713877E-2</v>
      </c>
      <c r="R403" s="19">
        <f t="shared" si="47"/>
        <v>2.4141661381086754E-2</v>
      </c>
      <c r="S403" s="22">
        <v>3.2172037574266232E-2</v>
      </c>
      <c r="T403" s="19">
        <f t="shared" si="48"/>
        <v>3.9435068726541678E-2</v>
      </c>
      <c r="U403" s="24">
        <v>3.5836529686513074E-2</v>
      </c>
      <c r="V403" s="24">
        <f t="shared" si="49"/>
        <v>4.020930140957657E-2</v>
      </c>
      <c r="W403" s="23">
        <f t="shared" si="50"/>
        <v>3.2882524280697378E-3</v>
      </c>
      <c r="X403" s="24">
        <v>3.5099351484423114E-2</v>
      </c>
      <c r="Y403" s="24">
        <f t="shared" si="51"/>
        <v>4.0045918209269171E-2</v>
      </c>
      <c r="Z403" s="23">
        <f t="shared" si="52"/>
        <v>3.2749400168701204E-3</v>
      </c>
      <c r="AA403" s="36"/>
    </row>
    <row r="404" spans="4:27" ht="13.9" customHeight="1">
      <c r="D404" s="8"/>
      <c r="E404" s="9"/>
      <c r="F404" s="19"/>
      <c r="G404" s="19"/>
      <c r="H404" s="19"/>
      <c r="J404" s="45"/>
      <c r="K404" s="45"/>
      <c r="L404" s="45"/>
      <c r="M404" s="43"/>
      <c r="O404" s="12">
        <f t="shared" si="46"/>
        <v>32.583333333333336</v>
      </c>
      <c r="P404" s="13">
        <v>391</v>
      </c>
      <c r="Q404" s="22">
        <v>2.9400157139690908E-2</v>
      </c>
      <c r="R404" s="19">
        <f t="shared" si="47"/>
        <v>2.4113016560667111E-2</v>
      </c>
      <c r="S404" s="22">
        <v>3.2190548217744475E-2</v>
      </c>
      <c r="T404" s="19">
        <f t="shared" si="48"/>
        <v>3.9474204917168576E-2</v>
      </c>
      <c r="U404" s="24">
        <v>3.5847689766618007E-2</v>
      </c>
      <c r="V404" s="24">
        <f t="shared" si="49"/>
        <v>4.0237762328305005E-2</v>
      </c>
      <c r="W404" s="23">
        <f t="shared" si="50"/>
        <v>3.2905640803726488E-3</v>
      </c>
      <c r="X404" s="24">
        <v>3.5111972494456412E-2</v>
      </c>
      <c r="Y404" s="24">
        <f t="shared" si="51"/>
        <v>4.0076577823615844E-2</v>
      </c>
      <c r="Z404" s="23">
        <f t="shared" si="52"/>
        <v>3.2774310964058806E-3</v>
      </c>
      <c r="AA404" s="36"/>
    </row>
    <row r="405" spans="4:27" ht="13.9" customHeight="1">
      <c r="D405" s="8"/>
      <c r="E405" s="9"/>
      <c r="F405" s="19"/>
      <c r="G405" s="19"/>
      <c r="H405" s="19"/>
      <c r="J405" s="45"/>
      <c r="K405" s="45"/>
      <c r="L405" s="45"/>
      <c r="M405" s="43"/>
      <c r="O405" s="12">
        <f t="shared" si="46"/>
        <v>32.666666666666664</v>
      </c>
      <c r="P405" s="13">
        <v>392</v>
      </c>
      <c r="Q405" s="22">
        <v>2.9386634868837191E-2</v>
      </c>
      <c r="R405" s="19">
        <f t="shared" si="47"/>
        <v>2.4084884240701321E-2</v>
      </c>
      <c r="S405" s="22">
        <v>3.2209063889887535E-2</v>
      </c>
      <c r="T405" s="19">
        <f t="shared" si="48"/>
        <v>3.9512901326537619E-2</v>
      </c>
      <c r="U405" s="24">
        <v>3.585886532660032E-2</v>
      </c>
      <c r="V405" s="24">
        <f t="shared" si="49"/>
        <v>4.0265927177008942E-2</v>
      </c>
      <c r="W405" s="23">
        <f t="shared" si="50"/>
        <v>3.2928516178494238E-3</v>
      </c>
      <c r="X405" s="24">
        <v>3.5124607106354455E-2</v>
      </c>
      <c r="Y405" s="24">
        <f t="shared" si="51"/>
        <v>4.0106912613407264E-2</v>
      </c>
      <c r="Z405" s="23">
        <f t="shared" si="52"/>
        <v>3.2798957058188805E-3</v>
      </c>
      <c r="AA405" s="36"/>
    </row>
    <row r="406" spans="4:27" ht="13.9" customHeight="1">
      <c r="D406" s="8"/>
      <c r="E406" s="9"/>
      <c r="F406" s="19"/>
      <c r="G406" s="19"/>
      <c r="H406" s="19"/>
      <c r="J406" s="45"/>
      <c r="K406" s="45"/>
      <c r="L406" s="45"/>
      <c r="M406" s="43"/>
      <c r="O406" s="12">
        <f t="shared" si="46"/>
        <v>32.75</v>
      </c>
      <c r="P406" s="13">
        <v>393</v>
      </c>
      <c r="Q406" s="22">
        <v>2.9373109637714556E-2</v>
      </c>
      <c r="R406" s="19">
        <f t="shared" si="47"/>
        <v>2.4057261833936305E-2</v>
      </c>
      <c r="S406" s="22">
        <v>3.2227583440184171E-2</v>
      </c>
      <c r="T406" s="19">
        <f t="shared" si="48"/>
        <v>3.9551163117834465E-2</v>
      </c>
      <c r="U406" s="24">
        <v>3.5870055497559727E-2</v>
      </c>
      <c r="V406" s="24">
        <f t="shared" si="49"/>
        <v>4.0293799153370058E-2</v>
      </c>
      <c r="W406" s="23">
        <f t="shared" si="50"/>
        <v>3.2951153023115243E-3</v>
      </c>
      <c r="X406" s="24">
        <v>3.5137254393089012E-2</v>
      </c>
      <c r="Y406" s="24">
        <f t="shared" si="51"/>
        <v>4.0136926156747466E-2</v>
      </c>
      <c r="Z406" s="23">
        <f t="shared" si="52"/>
        <v>3.2823341382828275E-3</v>
      </c>
      <c r="AA406" s="36"/>
    </row>
    <row r="407" spans="4:27" ht="13.9" customHeight="1">
      <c r="D407" s="8"/>
      <c r="E407" s="9"/>
      <c r="F407" s="19"/>
      <c r="G407" s="19"/>
      <c r="H407" s="19"/>
      <c r="J407" s="45"/>
      <c r="K407" s="45"/>
      <c r="L407" s="45"/>
      <c r="M407" s="43"/>
      <c r="O407" s="12">
        <f t="shared" si="46"/>
        <v>32.833333333333336</v>
      </c>
      <c r="P407" s="13">
        <v>394</v>
      </c>
      <c r="Q407" s="22">
        <v>2.9359582769262538E-2</v>
      </c>
      <c r="R407" s="19">
        <f t="shared" si="47"/>
        <v>2.4030146780846362E-2</v>
      </c>
      <c r="S407" s="22">
        <v>3.2246105742860465E-2</v>
      </c>
      <c r="T407" s="19">
        <f t="shared" si="48"/>
        <v>3.9588995388715409E-2</v>
      </c>
      <c r="U407" s="24">
        <v>3.5881259427527734E-2</v>
      </c>
      <c r="V407" s="24">
        <f t="shared" si="49"/>
        <v>4.0321381418606528E-2</v>
      </c>
      <c r="W407" s="23">
        <f t="shared" si="50"/>
        <v>3.2973553925303989E-3</v>
      </c>
      <c r="X407" s="24">
        <v>3.5149913446113068E-2</v>
      </c>
      <c r="Y407" s="24">
        <f t="shared" si="51"/>
        <v>4.0166621988953599E-2</v>
      </c>
      <c r="Z407" s="23">
        <f t="shared" si="52"/>
        <v>3.2847466835066452E-3</v>
      </c>
      <c r="AA407" s="36"/>
    </row>
    <row r="408" spans="4:27" ht="13.9" customHeight="1">
      <c r="D408" s="8"/>
      <c r="E408" s="9"/>
      <c r="F408" s="19"/>
      <c r="G408" s="19"/>
      <c r="H408" s="19"/>
      <c r="J408" s="45"/>
      <c r="K408" s="45"/>
      <c r="L408" s="45"/>
      <c r="M408" s="43"/>
      <c r="O408" s="12">
        <f t="shared" si="46"/>
        <v>32.916666666666664</v>
      </c>
      <c r="P408" s="13">
        <v>395</v>
      </c>
      <c r="Q408" s="22">
        <v>2.9346055566547014E-2</v>
      </c>
      <c r="R408" s="19">
        <f t="shared" si="47"/>
        <v>2.4003536549065396E-2</v>
      </c>
      <c r="S408" s="22">
        <v>3.2264629696399538E-2</v>
      </c>
      <c r="T408" s="19">
        <f t="shared" si="48"/>
        <v>3.9626403172643654E-2</v>
      </c>
      <c r="U408" s="24">
        <v>3.5892476281160768E-2</v>
      </c>
      <c r="V408" s="24">
        <f t="shared" si="49"/>
        <v>4.0348677096877061E-2</v>
      </c>
      <c r="W408" s="23">
        <f t="shared" si="50"/>
        <v>3.2995721443032089E-3</v>
      </c>
      <c r="X408" s="24">
        <v>3.5162583375018652E-2</v>
      </c>
      <c r="Y408" s="24">
        <f t="shared" si="51"/>
        <v>4.0196003604359598E-2</v>
      </c>
      <c r="Z408" s="23">
        <f t="shared" si="52"/>
        <v>3.2871336277069396E-3</v>
      </c>
      <c r="AA408" s="36"/>
    </row>
    <row r="409" spans="4:27" ht="13.9" customHeight="1">
      <c r="D409" s="8"/>
      <c r="E409" s="9"/>
      <c r="F409" s="19"/>
      <c r="G409" s="19"/>
      <c r="H409" s="19"/>
      <c r="J409" s="45"/>
      <c r="K409" s="45"/>
      <c r="L409" s="45"/>
      <c r="M409" s="43"/>
      <c r="O409" s="12">
        <f t="shared" si="46"/>
        <v>33</v>
      </c>
      <c r="P409" s="13">
        <v>396</v>
      </c>
      <c r="Q409" s="22">
        <v>2.9332529313077949E-2</v>
      </c>
      <c r="R409" s="19">
        <f t="shared" si="47"/>
        <v>2.3977426836198745E-2</v>
      </c>
      <c r="S409" s="22">
        <v>3.228315422307193E-2</v>
      </c>
      <c r="T409" s="19">
        <f t="shared" si="48"/>
        <v>3.9663391438986118E-2</v>
      </c>
      <c r="U409" s="24">
        <v>3.5903705239435091E-2</v>
      </c>
      <c r="V409" s="24">
        <f t="shared" si="49"/>
        <v>4.0375689276556326E-2</v>
      </c>
      <c r="W409" s="23">
        <f t="shared" si="50"/>
        <v>3.3017658104059766E-3</v>
      </c>
      <c r="X409" s="24">
        <v>3.5175263307202664E-2</v>
      </c>
      <c r="Y409" s="24">
        <f t="shared" si="51"/>
        <v>4.022507445583523E-2</v>
      </c>
      <c r="Z409" s="23">
        <f t="shared" si="52"/>
        <v>3.2894952537552147E-3</v>
      </c>
      <c r="AA409" s="36"/>
    </row>
    <row r="410" spans="4:27" ht="13.9" customHeight="1">
      <c r="D410" s="8"/>
      <c r="E410" s="9"/>
      <c r="F410" s="19"/>
      <c r="G410" s="19"/>
      <c r="H410" s="19"/>
      <c r="J410" s="45"/>
      <c r="K410" s="45"/>
      <c r="L410" s="45"/>
      <c r="M410" s="43"/>
      <c r="O410" s="12">
        <f t="shared" si="46"/>
        <v>33.083333333333336</v>
      </c>
      <c r="P410" s="13">
        <v>397</v>
      </c>
      <c r="Q410" s="22">
        <v>2.9319005268571896E-2</v>
      </c>
      <c r="R410" s="19">
        <f t="shared" si="47"/>
        <v>2.3951807984370133E-2</v>
      </c>
      <c r="S410" s="22">
        <v>3.230167826847441E-2</v>
      </c>
      <c r="T410" s="19">
        <f t="shared" si="48"/>
        <v>3.9699965094709855E-2</v>
      </c>
      <c r="U410" s="24">
        <v>3.5914945499351258E-2</v>
      </c>
      <c r="V410" s="24">
        <f t="shared" si="49"/>
        <v>4.0402421010772738E-2</v>
      </c>
      <c r="W410" s="23">
        <f t="shared" si="50"/>
        <v>3.3039366406970583E-3</v>
      </c>
      <c r="X410" s="24">
        <v>3.5187952387537802E-2</v>
      </c>
      <c r="Y410" s="24">
        <f t="shared" si="51"/>
        <v>4.02538379557007E-2</v>
      </c>
      <c r="Z410" s="23">
        <f t="shared" si="52"/>
        <v>3.2918318411394587E-3</v>
      </c>
      <c r="AA410" s="36"/>
    </row>
    <row r="411" spans="4:27" ht="13.9" customHeight="1">
      <c r="D411" s="8"/>
      <c r="E411" s="9"/>
      <c r="F411" s="19"/>
      <c r="G411" s="19"/>
      <c r="H411" s="19"/>
      <c r="J411" s="45"/>
      <c r="K411" s="45"/>
      <c r="L411" s="45"/>
      <c r="M411" s="43"/>
      <c r="O411" s="12">
        <f t="shared" si="46"/>
        <v>33.166666666666664</v>
      </c>
      <c r="P411" s="13">
        <v>398</v>
      </c>
      <c r="Q411" s="22">
        <v>2.9305484655722358E-2</v>
      </c>
      <c r="R411" s="19">
        <f t="shared" si="47"/>
        <v>2.3926675760495675E-2</v>
      </c>
      <c r="S411" s="22">
        <v>3.232020080107878E-2</v>
      </c>
      <c r="T411" s="19">
        <f t="shared" si="48"/>
        <v>3.9736128984852126E-2</v>
      </c>
      <c r="U411" s="24">
        <v>3.5926196273643018E-2</v>
      </c>
      <c r="V411" s="24">
        <f t="shared" si="49"/>
        <v>4.0428875317042756E-2</v>
      </c>
      <c r="W411" s="23">
        <f t="shared" si="50"/>
        <v>3.3060848821613309E-3</v>
      </c>
      <c r="X411" s="24">
        <v>3.5200649778050375E-2</v>
      </c>
      <c r="Y411" s="24">
        <f t="shared" si="51"/>
        <v>4.0282297475911166E-2</v>
      </c>
      <c r="Z411" s="23">
        <f t="shared" si="52"/>
        <v>3.2941436660394174E-3</v>
      </c>
      <c r="AA411" s="36"/>
    </row>
    <row r="412" spans="4:27" ht="13.9" customHeight="1">
      <c r="D412" s="8"/>
      <c r="E412" s="9"/>
      <c r="F412" s="19"/>
      <c r="G412" s="19"/>
      <c r="H412" s="19"/>
      <c r="J412" s="45"/>
      <c r="K412" s="45"/>
      <c r="L412" s="45"/>
      <c r="M412" s="43"/>
      <c r="O412" s="12">
        <f t="shared" si="46"/>
        <v>33.25</v>
      </c>
      <c r="P412" s="13">
        <v>399</v>
      </c>
      <c r="Q412" s="22">
        <v>2.9291968674328261E-2</v>
      </c>
      <c r="R412" s="19">
        <f t="shared" si="47"/>
        <v>2.3902027754739485E-2</v>
      </c>
      <c r="S412" s="22">
        <v>3.233872081178979E-2</v>
      </c>
      <c r="T412" s="19">
        <f t="shared" si="48"/>
        <v>3.9771887893895963E-2</v>
      </c>
      <c r="U412" s="24">
        <v>3.5937456790490652E-2</v>
      </c>
      <c r="V412" s="24">
        <f t="shared" si="49"/>
        <v>4.0455055178809651E-2</v>
      </c>
      <c r="W412" s="23">
        <f t="shared" si="50"/>
        <v>3.3082107788819926E-3</v>
      </c>
      <c r="X412" s="24">
        <v>3.5213354657603668E-2</v>
      </c>
      <c r="Y412" s="24">
        <f t="shared" si="51"/>
        <v>4.0310456349506252E-2</v>
      </c>
      <c r="Z412" s="23">
        <f t="shared" si="52"/>
        <v>3.2964310013421372E-3</v>
      </c>
      <c r="AA412" s="36"/>
    </row>
    <row r="413" spans="4:27" ht="13.9" customHeight="1">
      <c r="D413" s="8"/>
      <c r="E413" s="9"/>
      <c r="F413" s="19"/>
      <c r="G413" s="19"/>
      <c r="H413" s="19"/>
      <c r="J413" s="45"/>
      <c r="K413" s="45"/>
      <c r="L413" s="45"/>
      <c r="M413" s="43"/>
      <c r="O413" s="12">
        <f t="shared" si="46"/>
        <v>33.333333333333336</v>
      </c>
      <c r="P413" s="13">
        <v>400</v>
      </c>
      <c r="Q413" s="22">
        <v>2.9278458506160288E-2</v>
      </c>
      <c r="R413" s="19">
        <f t="shared" si="47"/>
        <v>2.3877861585118954E-2</v>
      </c>
      <c r="S413" s="22">
        <v>3.23572373135117E-2</v>
      </c>
      <c r="T413" s="19">
        <f t="shared" si="48"/>
        <v>3.9807246545715769E-2</v>
      </c>
      <c r="U413" s="24">
        <v>3.594872629324164E-2</v>
      </c>
      <c r="V413" s="24">
        <f t="shared" si="49"/>
        <v>4.048096354494457E-2</v>
      </c>
      <c r="W413" s="23">
        <f t="shared" si="50"/>
        <v>3.3103145721644633E-3</v>
      </c>
      <c r="X413" s="24">
        <v>3.5226066221589081E-2</v>
      </c>
      <c r="Y413" s="24">
        <f t="shared" si="51"/>
        <v>4.0338317870119766E-2</v>
      </c>
      <c r="Z413" s="23">
        <f t="shared" si="52"/>
        <v>3.2986941167605366E-3</v>
      </c>
      <c r="AA413" s="36"/>
    </row>
    <row r="414" spans="4:27" ht="13.9" customHeight="1">
      <c r="D414" s="8"/>
      <c r="E414" s="9"/>
      <c r="F414" s="19"/>
      <c r="G414" s="19"/>
      <c r="H414" s="19"/>
      <c r="J414" s="45"/>
      <c r="K414" s="45"/>
      <c r="L414" s="45"/>
      <c r="M414" s="43"/>
      <c r="O414" s="12">
        <f t="shared" si="46"/>
        <v>33.416666666666664</v>
      </c>
      <c r="P414" s="13">
        <v>401</v>
      </c>
      <c r="Q414" s="22">
        <v>2.9264955315253305E-2</v>
      </c>
      <c r="R414" s="19">
        <f t="shared" si="47"/>
        <v>2.3854174895068248E-2</v>
      </c>
      <c r="S414" s="22">
        <v>3.237574934072307E-2</v>
      </c>
      <c r="T414" s="19">
        <f t="shared" si="48"/>
        <v>3.9842209605433609E-2</v>
      </c>
      <c r="U414" s="24">
        <v>3.5960004040135329E-2</v>
      </c>
      <c r="V414" s="24">
        <f t="shared" si="49"/>
        <v>4.0506603330787705E-2</v>
      </c>
      <c r="W414" s="23">
        <f t="shared" si="50"/>
        <v>3.3123965004981937E-3</v>
      </c>
      <c r="X414" s="24">
        <v>3.5238783681621477E-2</v>
      </c>
      <c r="Y414" s="24">
        <f t="shared" si="51"/>
        <v>4.0365885292990455E-2</v>
      </c>
      <c r="Z414" s="23">
        <f t="shared" si="52"/>
        <v>3.3009332787941048E-3</v>
      </c>
      <c r="AA414" s="36"/>
    </row>
    <row r="415" spans="4:27" ht="13.9" customHeight="1">
      <c r="D415" s="8"/>
      <c r="E415" s="9"/>
      <c r="F415" s="19"/>
      <c r="G415" s="19"/>
      <c r="H415" s="19"/>
      <c r="J415" s="45"/>
      <c r="K415" s="45"/>
      <c r="L415" s="45"/>
      <c r="M415" s="43"/>
      <c r="O415" s="12">
        <f t="shared" si="46"/>
        <v>33.5</v>
      </c>
      <c r="P415" s="13">
        <v>402</v>
      </c>
      <c r="Q415" s="22">
        <v>2.9251460248189032E-2</v>
      </c>
      <c r="R415" s="19">
        <f t="shared" si="47"/>
        <v>2.3830963588785004E-2</v>
      </c>
      <c r="S415" s="22">
        <v>3.2394255949061312E-2</v>
      </c>
      <c r="T415" s="19">
        <f t="shared" si="48"/>
        <v>3.98767816793133E-2</v>
      </c>
      <c r="U415" s="24">
        <v>3.5971289304033149E-2</v>
      </c>
      <c r="V415" s="24">
        <f t="shared" si="49"/>
        <v>4.0531977418242882E-2</v>
      </c>
      <c r="W415" s="23">
        <f t="shared" si="50"/>
        <v>3.3144567996403751E-3</v>
      </c>
      <c r="X415" s="24">
        <v>3.5251506265241428E-2</v>
      </c>
      <c r="Y415" s="24">
        <f t="shared" si="51"/>
        <v>4.0393161835115876E-2</v>
      </c>
      <c r="Z415" s="23">
        <f t="shared" si="52"/>
        <v>3.3031487508117241E-3</v>
      </c>
      <c r="AA415" s="36"/>
    </row>
    <row r="416" spans="4:27" ht="13.9" customHeight="1">
      <c r="D416" s="8"/>
      <c r="E416" s="9"/>
      <c r="F416" s="19"/>
      <c r="G416" s="19"/>
      <c r="H416" s="19"/>
      <c r="J416" s="45"/>
      <c r="K416" s="45"/>
      <c r="L416" s="45"/>
      <c r="M416" s="43"/>
      <c r="O416" s="12">
        <f t="shared" si="46"/>
        <v>33.583333333333336</v>
      </c>
      <c r="P416" s="13">
        <v>403</v>
      </c>
      <c r="Q416" s="22">
        <v>2.9237974429972224E-2</v>
      </c>
      <c r="R416" s="19">
        <f t="shared" si="47"/>
        <v>2.3808218300380268E-2</v>
      </c>
      <c r="S416" s="22">
        <v>3.2412756214913685E-2</v>
      </c>
      <c r="T416" s="19">
        <f t="shared" si="48"/>
        <v>3.9910967316332924E-2</v>
      </c>
      <c r="U416" s="24">
        <v>3.5982581372154154E-2</v>
      </c>
      <c r="V416" s="24">
        <f t="shared" si="49"/>
        <v>4.0557088656304474E-2</v>
      </c>
      <c r="W416" s="23">
        <f t="shared" si="50"/>
        <v>3.3164957026250441E-3</v>
      </c>
      <c r="X416" s="24">
        <v>3.5264233215621887E-2</v>
      </c>
      <c r="Y416" s="24">
        <f t="shared" si="51"/>
        <v>4.0420150676165667E-2</v>
      </c>
      <c r="Z416" s="23">
        <f t="shared" si="52"/>
        <v>3.3053407930647705E-3</v>
      </c>
      <c r="AA416" s="36"/>
    </row>
    <row r="417" spans="4:27" ht="13.9" customHeight="1">
      <c r="D417" s="8"/>
      <c r="E417" s="9"/>
      <c r="F417" s="19"/>
      <c r="G417" s="19"/>
      <c r="H417" s="19"/>
      <c r="J417" s="45"/>
      <c r="K417" s="45"/>
      <c r="L417" s="45"/>
      <c r="M417" s="43"/>
      <c r="O417" s="12">
        <f t="shared" si="46"/>
        <v>33.666666666666664</v>
      </c>
      <c r="P417" s="13">
        <v>404</v>
      </c>
      <c r="Q417" s="22">
        <v>2.9224498951182287E-2</v>
      </c>
      <c r="R417" s="19">
        <f t="shared" si="47"/>
        <v>2.378593500233861E-2</v>
      </c>
      <c r="S417" s="22">
        <v>3.2431249235017834E-2</v>
      </c>
      <c r="T417" s="19">
        <f t="shared" si="48"/>
        <v>3.9944771008878277E-2</v>
      </c>
      <c r="U417" s="24">
        <v>3.5993879545815233E-2</v>
      </c>
      <c r="V417" s="24">
        <f t="shared" si="49"/>
        <v>4.0581939861612959E-2</v>
      </c>
      <c r="W417" s="23">
        <f t="shared" si="50"/>
        <v>3.3185134398057148E-3</v>
      </c>
      <c r="X417" s="24">
        <v>3.5276963791281979E-2</v>
      </c>
      <c r="Y417" s="24">
        <f t="shared" si="51"/>
        <v>4.0446854959119261E-2</v>
      </c>
      <c r="Z417" s="23">
        <f t="shared" si="52"/>
        <v>3.3075096627621647E-3</v>
      </c>
      <c r="AA417" s="36"/>
    </row>
    <row r="418" spans="4:27" ht="13.9" customHeight="1">
      <c r="D418" s="8"/>
      <c r="E418" s="9"/>
      <c r="F418" s="19"/>
      <c r="G418" s="19"/>
      <c r="H418" s="19"/>
      <c r="J418" s="45"/>
      <c r="K418" s="45"/>
      <c r="L418" s="45"/>
      <c r="M418" s="43"/>
      <c r="O418" s="12">
        <f t="shared" si="46"/>
        <v>33.75</v>
      </c>
      <c r="P418" s="13">
        <v>405</v>
      </c>
      <c r="Q418" s="22">
        <v>2.9211034881646558E-2</v>
      </c>
      <c r="R418" s="19">
        <f t="shared" si="47"/>
        <v>2.3764111460803594E-2</v>
      </c>
      <c r="S418" s="22">
        <v>3.2449734126070995E-2</v>
      </c>
      <c r="T418" s="19">
        <f t="shared" si="48"/>
        <v>3.9978197192995779E-2</v>
      </c>
      <c r="U418" s="24">
        <v>3.6005183140176422E-2</v>
      </c>
      <c r="V418" s="24">
        <f t="shared" si="49"/>
        <v>4.0606533818522417E-2</v>
      </c>
      <c r="W418" s="23">
        <f t="shared" si="50"/>
        <v>3.3205102389013419E-3</v>
      </c>
      <c r="X418" s="24">
        <v>3.528969726580633E-2</v>
      </c>
      <c r="Y418" s="24">
        <f t="shared" si="51"/>
        <v>4.0473277789752293E-2</v>
      </c>
      <c r="Z418" s="23">
        <f t="shared" si="52"/>
        <v>3.3096556141218869E-3</v>
      </c>
      <c r="AA418" s="36"/>
    </row>
    <row r="419" spans="4:27" ht="13.9" customHeight="1">
      <c r="D419" s="8"/>
      <c r="E419" s="9"/>
      <c r="F419" s="19"/>
      <c r="G419" s="19"/>
      <c r="H419" s="19"/>
      <c r="J419" s="45"/>
      <c r="K419" s="45"/>
      <c r="L419" s="45"/>
      <c r="M419" s="43"/>
      <c r="O419" s="12">
        <f t="shared" si="46"/>
        <v>33.833333333333336</v>
      </c>
      <c r="P419" s="13">
        <v>406</v>
      </c>
      <c r="Q419" s="22">
        <v>2.9197583275136552E-2</v>
      </c>
      <c r="R419" s="19">
        <f t="shared" si="47"/>
        <v>2.3742745468592341E-2</v>
      </c>
      <c r="S419" s="22">
        <v>3.246821002434408E-2</v>
      </c>
      <c r="T419" s="19">
        <f t="shared" si="48"/>
        <v>4.0011250249590846E-2</v>
      </c>
      <c r="U419" s="24">
        <v>3.6016491483990887E-2</v>
      </c>
      <c r="V419" s="24">
        <f t="shared" si="49"/>
        <v>4.0630873279869251E-2</v>
      </c>
      <c r="W419" s="23">
        <f t="shared" si="50"/>
        <v>3.3224863250020942E-3</v>
      </c>
      <c r="X419" s="24">
        <v>3.5302432927567295E-2</v>
      </c>
      <c r="Y419" s="24">
        <f t="shared" si="51"/>
        <v>4.0499422238076566E-2</v>
      </c>
      <c r="Z419" s="23">
        <f t="shared" si="52"/>
        <v>3.3117788983316743E-3</v>
      </c>
      <c r="AA419" s="36"/>
    </row>
    <row r="420" spans="4:27" ht="13.9" customHeight="1">
      <c r="D420" s="8"/>
      <c r="E420" s="9"/>
      <c r="F420" s="19"/>
      <c r="G420" s="19"/>
      <c r="H420" s="19"/>
      <c r="J420" s="45"/>
      <c r="K420" s="45"/>
      <c r="L420" s="45"/>
      <c r="M420" s="43"/>
      <c r="O420" s="12">
        <f t="shared" si="46"/>
        <v>33.916666666666664</v>
      </c>
      <c r="P420" s="13">
        <v>407</v>
      </c>
      <c r="Q420" s="22">
        <v>2.9184145169629083E-2</v>
      </c>
      <c r="R420" s="19">
        <f t="shared" si="47"/>
        <v>2.3721834845270795E-2</v>
      </c>
      <c r="S420" s="22">
        <v>3.2486676085306643E-2</v>
      </c>
      <c r="T420" s="19">
        <f t="shared" si="48"/>
        <v>4.0043934505389123E-2</v>
      </c>
      <c r="U420" s="24">
        <v>3.602780391935978E-2</v>
      </c>
      <c r="V420" s="24">
        <f t="shared" si="49"/>
        <v>4.0654960967220877E-2</v>
      </c>
      <c r="W420" s="23">
        <f t="shared" si="50"/>
        <v>3.3244419206324149E-3</v>
      </c>
      <c r="X420" s="24">
        <v>3.5315170079455616E-2</v>
      </c>
      <c r="Y420" s="24">
        <f t="shared" si="51"/>
        <v>4.0525291338646685E-2</v>
      </c>
      <c r="Z420" s="23">
        <f t="shared" si="52"/>
        <v>3.3138797636640405E-3</v>
      </c>
      <c r="AA420" s="36"/>
    </row>
    <row r="421" spans="4:27" ht="13.9" customHeight="1">
      <c r="D421" s="8"/>
      <c r="E421" s="9"/>
      <c r="F421" s="19"/>
      <c r="G421" s="19"/>
      <c r="H421" s="19"/>
      <c r="J421" s="45"/>
      <c r="K421" s="45"/>
      <c r="L421" s="45"/>
      <c r="M421" s="43"/>
      <c r="O421" s="12">
        <f t="shared" si="46"/>
        <v>34</v>
      </c>
      <c r="P421" s="13">
        <v>408</v>
      </c>
      <c r="Q421" s="22">
        <v>2.9170721587563841E-2</v>
      </c>
      <c r="R421" s="19">
        <f t="shared" si="47"/>
        <v>2.3701375698131688E-2</v>
      </c>
      <c r="S421" s="22">
        <v>3.2505131483256955E-2</v>
      </c>
      <c r="T421" s="19">
        <f t="shared" si="48"/>
        <v>4.0076254233310182E-2</v>
      </c>
      <c r="U421" s="24">
        <v>3.603911980149177E-2</v>
      </c>
      <c r="V421" s="24">
        <f t="shared" si="49"/>
        <v>4.0678799571206126E-2</v>
      </c>
      <c r="W421" s="23">
        <f t="shared" si="50"/>
        <v>3.3263772457714502E-3</v>
      </c>
      <c r="X421" s="24">
        <v>3.5327908038614408E-2</v>
      </c>
      <c r="Y421" s="24">
        <f t="shared" si="51"/>
        <v>4.0550888090566506E-2</v>
      </c>
      <c r="Z421" s="23">
        <f t="shared" si="52"/>
        <v>3.3159584555042532E-3</v>
      </c>
      <c r="AA421" s="36"/>
    </row>
    <row r="422" spans="4:27" ht="13.9" customHeight="1">
      <c r="D422" s="8"/>
      <c r="E422" s="9"/>
      <c r="F422" s="19"/>
      <c r="G422" s="19"/>
      <c r="H422" s="19"/>
      <c r="J422" s="45"/>
      <c r="K422" s="45"/>
      <c r="L422" s="45"/>
      <c r="M422" s="43"/>
      <c r="O422" s="12">
        <f t="shared" si="46"/>
        <v>34.083333333333336</v>
      </c>
      <c r="P422" s="13">
        <v>409</v>
      </c>
      <c r="Q422" s="22">
        <v>2.9157313531824158E-2</v>
      </c>
      <c r="R422" s="19">
        <f t="shared" si="47"/>
        <v>2.368135895088308E-2</v>
      </c>
      <c r="S422" s="22">
        <v>3.2523575410961181E-2</v>
      </c>
      <c r="T422" s="19">
        <f t="shared" si="48"/>
        <v>4.0108213653024638E-2</v>
      </c>
      <c r="U422" s="24">
        <v>3.6050438498466564E-2</v>
      </c>
      <c r="V422" s="24">
        <f t="shared" si="49"/>
        <v>4.0702391751850531E-2</v>
      </c>
      <c r="W422" s="23">
        <f t="shared" si="50"/>
        <v>3.3282925178803602E-3</v>
      </c>
      <c r="X422" s="24">
        <v>3.5340646136178044E-2</v>
      </c>
      <c r="Y422" s="24">
        <f t="shared" si="51"/>
        <v>4.0576215458327569E-2</v>
      </c>
      <c r="Z422" s="23">
        <f t="shared" si="52"/>
        <v>3.3180152163494459E-3</v>
      </c>
      <c r="AA422" s="36"/>
    </row>
    <row r="423" spans="4:27" ht="13.9" customHeight="1">
      <c r="D423" s="8"/>
      <c r="E423" s="9"/>
      <c r="F423" s="19"/>
      <c r="G423" s="19"/>
      <c r="H423" s="19"/>
      <c r="J423" s="45"/>
      <c r="K423" s="45"/>
      <c r="L423" s="45"/>
      <c r="M423" s="43"/>
      <c r="O423" s="12">
        <f t="shared" si="46"/>
        <v>34.166666666666664</v>
      </c>
      <c r="P423" s="13">
        <v>410</v>
      </c>
      <c r="Q423" s="22">
        <v>2.9143921973262543E-2</v>
      </c>
      <c r="R423" s="19">
        <f t="shared" si="47"/>
        <v>2.3661780778009733E-2</v>
      </c>
      <c r="S423" s="22">
        <v>3.2542007079297441E-2</v>
      </c>
      <c r="T423" s="19">
        <f t="shared" si="48"/>
        <v>4.0139816932614591E-2</v>
      </c>
      <c r="U423" s="24">
        <v>3.606175939100309E-2</v>
      </c>
      <c r="V423" s="24">
        <f t="shared" si="49"/>
        <v>4.0725740139331057E-2</v>
      </c>
      <c r="W423" s="23">
        <f t="shared" si="50"/>
        <v>3.3301879519300748E-3</v>
      </c>
      <c r="X423" s="24">
        <v>3.5353383717017239E-2</v>
      </c>
      <c r="Y423" s="24">
        <f t="shared" si="51"/>
        <v>4.0601276372364881E-2</v>
      </c>
      <c r="Z423" s="23">
        <f t="shared" si="52"/>
        <v>3.3200502858783398E-3</v>
      </c>
      <c r="AA423" s="36"/>
    </row>
    <row r="424" spans="4:27" ht="13.9" customHeight="1">
      <c r="D424" s="8"/>
      <c r="E424" s="9"/>
      <c r="F424" s="19"/>
      <c r="G424" s="19"/>
      <c r="H424" s="19"/>
      <c r="J424" s="45"/>
      <c r="K424" s="45"/>
      <c r="L424" s="45"/>
      <c r="M424" s="43"/>
      <c r="O424" s="12">
        <f t="shared" si="46"/>
        <v>34.25</v>
      </c>
      <c r="P424" s="13">
        <v>411</v>
      </c>
      <c r="Q424" s="22">
        <v>2.9130547863933209E-2</v>
      </c>
      <c r="R424" s="19">
        <f t="shared" si="47"/>
        <v>2.3642639119835884E-2</v>
      </c>
      <c r="S424" s="22">
        <v>3.2560425716909869E-2</v>
      </c>
      <c r="T424" s="19">
        <f t="shared" si="48"/>
        <v>4.0171068188098236E-2</v>
      </c>
      <c r="U424" s="24">
        <v>3.6073081872232793E-2</v>
      </c>
      <c r="V424" s="24">
        <f t="shared" si="49"/>
        <v>4.074884733395967E-2</v>
      </c>
      <c r="W424" s="23">
        <f t="shared" si="50"/>
        <v>3.332063760462578E-3</v>
      </c>
      <c r="X424" s="24">
        <v>3.5366120139487922E-2</v>
      </c>
      <c r="Y424" s="24">
        <f t="shared" si="51"/>
        <v>4.0626073728623036E-2</v>
      </c>
      <c r="Z424" s="23">
        <f t="shared" si="52"/>
        <v>3.3220639009963193E-3</v>
      </c>
      <c r="AA424" s="36"/>
    </row>
    <row r="425" spans="4:27" ht="13.9" customHeight="1">
      <c r="D425" s="8"/>
      <c r="E425" s="9"/>
      <c r="F425" s="19"/>
      <c r="G425" s="19"/>
      <c r="H425" s="19"/>
      <c r="J425" s="45"/>
      <c r="K425" s="45"/>
      <c r="L425" s="45"/>
      <c r="M425" s="43"/>
      <c r="O425" s="12">
        <f t="shared" si="46"/>
        <v>34.333333333333336</v>
      </c>
      <c r="P425" s="13">
        <v>412</v>
      </c>
      <c r="Q425" s="22">
        <v>2.9117192141628223E-2</v>
      </c>
      <c r="R425" s="19">
        <f t="shared" si="47"/>
        <v>2.3623931943098198E-2</v>
      </c>
      <c r="S425" s="22">
        <v>3.2578830569866213E-2</v>
      </c>
      <c r="T425" s="19">
        <f t="shared" si="48"/>
        <v>4.0201971484955745E-2</v>
      </c>
      <c r="U425" s="24">
        <v>3.6084405347476034E-2</v>
      </c>
      <c r="V425" s="24">
        <f t="shared" si="49"/>
        <v>4.077171590642692E-2</v>
      </c>
      <c r="W425" s="23">
        <f t="shared" si="50"/>
        <v>3.333920153590908E-3</v>
      </c>
      <c r="X425" s="24">
        <v>3.5378854775184543E-2</v>
      </c>
      <c r="Y425" s="24">
        <f t="shared" si="51"/>
        <v>4.0650610390588815E-2</v>
      </c>
      <c r="Z425" s="23">
        <f t="shared" si="52"/>
        <v>3.3240562958014586E-3</v>
      </c>
      <c r="AA425" s="36"/>
    </row>
    <row r="426" spans="4:27" ht="13.9" customHeight="1">
      <c r="D426" s="8"/>
      <c r="E426" s="9"/>
      <c r="F426" s="19"/>
      <c r="G426" s="19"/>
      <c r="H426" s="19"/>
      <c r="J426" s="45"/>
      <c r="K426" s="45"/>
      <c r="L426" s="45"/>
      <c r="M426" s="43"/>
      <c r="O426" s="12">
        <f t="shared" si="46"/>
        <v>34.416666666666664</v>
      </c>
      <c r="P426" s="13">
        <v>413</v>
      </c>
      <c r="Q426" s="22">
        <v>2.9103855730112205E-2</v>
      </c>
      <c r="R426" s="19">
        <f t="shared" si="47"/>
        <v>2.3605657239675226E-2</v>
      </c>
      <c r="S426" s="22">
        <v>3.2597220901324775E-2</v>
      </c>
      <c r="T426" s="19">
        <f t="shared" si="48"/>
        <v>4.023253083865197E-2</v>
      </c>
      <c r="U426" s="24">
        <v>3.6095729234022711E-2</v>
      </c>
      <c r="V426" s="24">
        <f t="shared" si="49"/>
        <v>4.0794348398736302E-2</v>
      </c>
      <c r="W426" s="23">
        <f t="shared" si="50"/>
        <v>3.3357573390178086E-3</v>
      </c>
      <c r="X426" s="24">
        <v>3.5391587008699599E-2</v>
      </c>
      <c r="Y426" s="24">
        <f t="shared" si="51"/>
        <v>4.0674889188024199E-2</v>
      </c>
      <c r="Z426" s="23">
        <f t="shared" si="52"/>
        <v>3.3260277017488349E-3</v>
      </c>
      <c r="AA426" s="36"/>
    </row>
    <row r="427" spans="4:27" ht="13.9" customHeight="1">
      <c r="D427" s="8"/>
      <c r="E427" s="9"/>
      <c r="F427" s="19"/>
      <c r="G427" s="19"/>
      <c r="H427" s="19"/>
      <c r="J427" s="45"/>
      <c r="K427" s="45"/>
      <c r="L427" s="45"/>
      <c r="M427" s="43"/>
      <c r="O427" s="12">
        <f t="shared" si="46"/>
        <v>34.5</v>
      </c>
      <c r="P427" s="13">
        <v>414</v>
      </c>
      <c r="Q427" s="22">
        <v>2.9090539539352589E-2</v>
      </c>
      <c r="R427" s="19">
        <f t="shared" si="47"/>
        <v>2.3587811317234308E-2</v>
      </c>
      <c r="S427" s="22">
        <v>3.261559599120667E-2</v>
      </c>
      <c r="T427" s="19">
        <f t="shared" si="48"/>
        <v>4.0262750215186882E-2</v>
      </c>
      <c r="U427" s="24">
        <v>3.6107052960917763E-2</v>
      </c>
      <c r="V427" s="24">
        <f t="shared" si="49"/>
        <v>4.0816747324250668E-2</v>
      </c>
      <c r="W427" s="23">
        <f t="shared" si="50"/>
        <v>3.3375755221138892E-3</v>
      </c>
      <c r="X427" s="24">
        <v>3.5404316237386269E-2</v>
      </c>
      <c r="Y427" s="24">
        <f t="shared" si="51"/>
        <v>4.0698912918681662E-2</v>
      </c>
      <c r="Z427" s="23">
        <f t="shared" si="52"/>
        <v>3.3279783475492764E-3</v>
      </c>
      <c r="AA427" s="36"/>
    </row>
    <row r="428" spans="4:27" ht="13.9" customHeight="1">
      <c r="D428" s="8"/>
      <c r="E428" s="9"/>
      <c r="F428" s="19"/>
      <c r="G428" s="19"/>
      <c r="H428" s="19"/>
      <c r="J428" s="45"/>
      <c r="K428" s="45"/>
      <c r="L428" s="45"/>
      <c r="M428" s="43"/>
      <c r="O428" s="12">
        <f t="shared" si="46"/>
        <v>34.583333333333336</v>
      </c>
      <c r="P428" s="13">
        <v>415</v>
      </c>
      <c r="Q428" s="22">
        <v>2.907724446160409E-2</v>
      </c>
      <c r="R428" s="19">
        <f t="shared" si="47"/>
        <v>2.3570385385556891E-2</v>
      </c>
      <c r="S428" s="22">
        <v>3.2633955135874748E-2</v>
      </c>
      <c r="T428" s="19">
        <f t="shared" si="48"/>
        <v>4.029263353178214E-2</v>
      </c>
      <c r="U428" s="24">
        <v>3.6118375968750671E-2</v>
      </c>
      <c r="V428" s="24">
        <f t="shared" si="49"/>
        <v>4.0838915167818346E-2</v>
      </c>
      <c r="W428" s="23">
        <f t="shared" si="50"/>
        <v>3.3393749059196232E-3</v>
      </c>
      <c r="X428" s="24">
        <v>3.5417041871126154E-2</v>
      </c>
      <c r="Y428" s="24">
        <f t="shared" si="51"/>
        <v>4.0722684347476168E-2</v>
      </c>
      <c r="Z428" s="23">
        <f t="shared" si="52"/>
        <v>3.3299084593079176E-3</v>
      </c>
      <c r="AA428" s="36"/>
    </row>
    <row r="429" spans="4:27" ht="13.9" customHeight="1">
      <c r="D429" s="8"/>
      <c r="E429" s="9"/>
      <c r="F429" s="19"/>
      <c r="G429" s="19"/>
      <c r="H429" s="19"/>
      <c r="J429" s="45"/>
      <c r="K429" s="45"/>
      <c r="L429" s="45"/>
      <c r="M429" s="43"/>
      <c r="O429" s="12">
        <f t="shared" si="46"/>
        <v>34.666666666666664</v>
      </c>
      <c r="P429" s="13">
        <v>416</v>
      </c>
      <c r="Q429" s="22">
        <v>2.9063971359299945E-2</v>
      </c>
      <c r="R429" s="19">
        <f t="shared" si="47"/>
        <v>2.3553375818059052E-2</v>
      </c>
      <c r="S429" s="22">
        <v>3.2652297647818518E-2</v>
      </c>
      <c r="T429" s="19">
        <f t="shared" si="48"/>
        <v>4.0322184657369586E-2</v>
      </c>
      <c r="U429" s="24">
        <v>3.6129697709447628E-2</v>
      </c>
      <c r="V429" s="24">
        <f t="shared" si="49"/>
        <v>4.0860854386434609E-2</v>
      </c>
      <c r="W429" s="23">
        <f t="shared" si="50"/>
        <v>3.3411556911575602E-3</v>
      </c>
      <c r="X429" s="24">
        <v>3.5429763332100572E-2</v>
      </c>
      <c r="Y429" s="24">
        <f t="shared" si="51"/>
        <v>4.0746206208288616E-2</v>
      </c>
      <c r="Z429" s="23">
        <f t="shared" si="52"/>
        <v>3.3318182604591406E-3</v>
      </c>
      <c r="AA429" s="36"/>
    </row>
    <row r="430" spans="4:27" ht="13.9" customHeight="1">
      <c r="D430" s="8"/>
      <c r="E430" s="9"/>
      <c r="F430" s="19"/>
      <c r="G430" s="19"/>
      <c r="H430" s="19"/>
      <c r="J430" s="45"/>
      <c r="K430" s="45"/>
      <c r="L430" s="45"/>
      <c r="M430" s="43"/>
      <c r="O430" s="12">
        <f t="shared" si="46"/>
        <v>34.75</v>
      </c>
      <c r="P430" s="13">
        <v>417</v>
      </c>
      <c r="Q430" s="22">
        <v>2.9050721077858332E-2</v>
      </c>
      <c r="R430" s="19">
        <f t="shared" si="47"/>
        <v>2.3536780726642892E-2</v>
      </c>
      <c r="S430" s="22">
        <v>3.2670622855345277E-2</v>
      </c>
      <c r="T430" s="19">
        <f t="shared" si="48"/>
        <v>4.0351407414308982E-2</v>
      </c>
      <c r="U430" s="24">
        <v>3.6141017646068585E-2</v>
      </c>
      <c r="V430" s="24">
        <f t="shared" si="49"/>
        <v>4.0882567409689097E-2</v>
      </c>
      <c r="W430" s="23">
        <f t="shared" si="50"/>
        <v>3.3429180762860611E-3</v>
      </c>
      <c r="X430" s="24">
        <v>3.5442480054567183E-2</v>
      </c>
      <c r="Y430" s="24">
        <f t="shared" si="51"/>
        <v>4.0769481203359881E-2</v>
      </c>
      <c r="Z430" s="23">
        <f t="shared" si="52"/>
        <v>3.3337079719117924E-3</v>
      </c>
      <c r="AA430" s="36"/>
    </row>
    <row r="431" spans="4:27" ht="13.9" customHeight="1">
      <c r="D431" s="8"/>
      <c r="E431" s="9"/>
      <c r="F431" s="19"/>
      <c r="G431" s="19"/>
      <c r="H431" s="19"/>
      <c r="J431" s="45"/>
      <c r="K431" s="45"/>
      <c r="L431" s="45"/>
      <c r="M431" s="43"/>
      <c r="O431" s="12">
        <f t="shared" si="46"/>
        <v>34.833333333333336</v>
      </c>
      <c r="P431" s="13">
        <v>418</v>
      </c>
      <c r="Q431" s="22">
        <v>2.9037494450065537E-2</v>
      </c>
      <c r="R431" s="19">
        <f t="shared" si="47"/>
        <v>2.352059824806374E-2</v>
      </c>
      <c r="S431" s="22">
        <v>3.2688930102278579E-2</v>
      </c>
      <c r="T431" s="19">
        <f t="shared" si="48"/>
        <v>4.0380305576857012E-2</v>
      </c>
      <c r="U431" s="24">
        <v>3.6152335252608303E-2</v>
      </c>
      <c r="V431" s="24">
        <f t="shared" si="49"/>
        <v>4.0904056639531117E-2</v>
      </c>
      <c r="W431" s="23">
        <f t="shared" si="50"/>
        <v>3.3446622575350471E-3</v>
      </c>
      <c r="X431" s="24">
        <v>3.5455191484640824E-2</v>
      </c>
      <c r="Y431" s="24">
        <f t="shared" si="51"/>
        <v>4.079251200377576E-2</v>
      </c>
      <c r="Z431" s="23">
        <f t="shared" si="52"/>
        <v>3.3355778120007784E-3</v>
      </c>
      <c r="AA431" s="36"/>
    </row>
    <row r="432" spans="4:27" ht="13.9" customHeight="1">
      <c r="D432" s="8"/>
      <c r="E432" s="9"/>
      <c r="F432" s="19"/>
      <c r="G432" s="19"/>
      <c r="H432" s="19"/>
      <c r="J432" s="45"/>
      <c r="K432" s="45"/>
      <c r="L432" s="45"/>
      <c r="M432" s="43"/>
      <c r="O432" s="12">
        <f t="shared" si="46"/>
        <v>34.916666666666664</v>
      </c>
      <c r="P432" s="13">
        <v>419</v>
      </c>
      <c r="Q432" s="22">
        <v>2.9024292296285781E-2</v>
      </c>
      <c r="R432" s="19">
        <f t="shared" si="47"/>
        <v>2.3504826544870738E-2</v>
      </c>
      <c r="S432" s="22">
        <v>3.2707218747659583E-2</v>
      </c>
      <c r="T432" s="19">
        <f t="shared" si="48"/>
        <v>4.0408882874535701E-2</v>
      </c>
      <c r="U432" s="24">
        <v>3.6163650013799842E-2</v>
      </c>
      <c r="V432" s="24">
        <f t="shared" si="49"/>
        <v>4.0925324451231759E-2</v>
      </c>
      <c r="W432" s="23">
        <f t="shared" si="50"/>
        <v>3.3463884288884582E-3</v>
      </c>
      <c r="X432" s="24">
        <v>3.5467897080076582E-2</v>
      </c>
      <c r="Y432" s="24">
        <f t="shared" si="51"/>
        <v>4.0815301250388458E-2</v>
      </c>
      <c r="Z432" s="23">
        <f t="shared" si="52"/>
        <v>3.3374279965274756E-3</v>
      </c>
      <c r="AA432" s="36"/>
    </row>
    <row r="433" spans="4:27" ht="13.9" customHeight="1">
      <c r="D433" s="8"/>
      <c r="E433" s="9"/>
      <c r="F433" s="19"/>
      <c r="G433" s="19"/>
      <c r="H433" s="19"/>
      <c r="J433" s="45"/>
      <c r="K433" s="45"/>
      <c r="L433" s="45"/>
      <c r="M433" s="43"/>
      <c r="O433" s="12">
        <f t="shared" si="46"/>
        <v>35</v>
      </c>
      <c r="P433" s="13">
        <v>420</v>
      </c>
      <c r="Q433" s="22">
        <v>2.9011115424669498E-2</v>
      </c>
      <c r="R433" s="19">
        <f t="shared" si="47"/>
        <v>2.3489462122451732E-2</v>
      </c>
      <c r="S433" s="22">
        <v>3.272548816545795E-2</v>
      </c>
      <c r="T433" s="19">
        <f t="shared" si="48"/>
        <v>4.0437142990420005E-2</v>
      </c>
      <c r="U433" s="24">
        <v>3.6174961424922936E-2</v>
      </c>
      <c r="V433" s="24">
        <f t="shared" si="49"/>
        <v>4.0946373193560648E-2</v>
      </c>
      <c r="W433" s="23">
        <f t="shared" si="50"/>
        <v>3.3480967821619689E-3</v>
      </c>
      <c r="X433" s="24">
        <v>3.5480596310059731E-2</v>
      </c>
      <c r="Y433" s="24">
        <f t="shared" si="51"/>
        <v>4.0837851553860771E-2</v>
      </c>
      <c r="Z433" s="23">
        <f t="shared" si="52"/>
        <v>3.3392587388347827E-3</v>
      </c>
      <c r="AA433" s="36"/>
    </row>
    <row r="434" spans="4:27" ht="13.9" customHeight="1">
      <c r="D434" s="8"/>
      <c r="E434" s="9"/>
      <c r="F434" s="19"/>
      <c r="G434" s="19"/>
      <c r="H434" s="19"/>
      <c r="J434" s="45"/>
      <c r="K434" s="45"/>
      <c r="L434" s="45"/>
      <c r="M434" s="43"/>
      <c r="O434" s="12">
        <f t="shared" si="46"/>
        <v>35.083333333333336</v>
      </c>
      <c r="P434" s="13">
        <v>421</v>
      </c>
      <c r="Q434" s="22">
        <v>2.8997964627340611E-2</v>
      </c>
      <c r="R434" s="19">
        <f t="shared" si="47"/>
        <v>2.3474496469273687E-2</v>
      </c>
      <c r="S434" s="22">
        <v>3.2743737744285406E-2</v>
      </c>
      <c r="T434" s="19">
        <f t="shared" si="48"/>
        <v>4.0465089562970569E-2</v>
      </c>
      <c r="U434" s="24">
        <v>3.6186268991615256E-2</v>
      </c>
      <c r="V434" s="24">
        <f t="shared" si="49"/>
        <v>4.0967205188688238E-2</v>
      </c>
      <c r="W434" s="23">
        <f t="shared" si="50"/>
        <v>3.349787507017199E-3</v>
      </c>
      <c r="X434" s="24">
        <v>3.5493288654997679E-2</v>
      </c>
      <c r="Y434" s="24">
        <f t="shared" si="51"/>
        <v>4.0860165494903011E-2</v>
      </c>
      <c r="Z434" s="23">
        <f t="shared" si="52"/>
        <v>3.3410702498097855E-3</v>
      </c>
      <c r="AA434" s="36"/>
    </row>
    <row r="435" spans="4:27" ht="13.9" customHeight="1">
      <c r="D435" s="8"/>
      <c r="E435" s="9"/>
      <c r="F435" s="19"/>
      <c r="G435" s="19"/>
      <c r="H435" s="19"/>
      <c r="J435" s="45"/>
      <c r="K435" s="45"/>
      <c r="L435" s="45"/>
      <c r="M435" s="43"/>
      <c r="O435" s="12">
        <f t="shared" si="46"/>
        <v>35.166666666666664</v>
      </c>
      <c r="P435" s="13">
        <v>422</v>
      </c>
      <c r="Q435" s="22">
        <v>2.8984840668632383E-2</v>
      </c>
      <c r="R435" s="19">
        <f t="shared" si="47"/>
        <v>2.3459926156777611E-2</v>
      </c>
      <c r="S435" s="22">
        <v>3.2761966887115967E-2</v>
      </c>
      <c r="T435" s="19">
        <f t="shared" si="48"/>
        <v>4.0492726186222905E-2</v>
      </c>
      <c r="U435" s="24">
        <v>3.6197572229687003E-2</v>
      </c>
      <c r="V435" s="24">
        <f t="shared" si="49"/>
        <v>4.0987822733304258E-2</v>
      </c>
      <c r="W435" s="23">
        <f t="shared" si="50"/>
        <v>3.3514607909559402E-3</v>
      </c>
      <c r="X435" s="24">
        <v>3.5505973606315688E-2</v>
      </c>
      <c r="Y435" s="24">
        <f t="shared" si="51"/>
        <v>4.0882245624790814E-2</v>
      </c>
      <c r="Z435" s="23">
        <f t="shared" si="52"/>
        <v>3.3428627379055165E-3</v>
      </c>
      <c r="AA435" s="36"/>
    </row>
    <row r="436" spans="4:27" ht="13.9" customHeight="1">
      <c r="D436" s="8"/>
      <c r="E436" s="9"/>
      <c r="F436" s="19"/>
      <c r="G436" s="19"/>
      <c r="H436" s="19"/>
      <c r="J436" s="45"/>
      <c r="K436" s="45"/>
      <c r="L436" s="45"/>
      <c r="M436" s="43"/>
      <c r="O436" s="12">
        <f t="shared" si="46"/>
        <v>35.25</v>
      </c>
      <c r="P436" s="13">
        <v>423</v>
      </c>
      <c r="Q436" s="22">
        <v>2.8971744297496604E-2</v>
      </c>
      <c r="R436" s="19">
        <f t="shared" si="47"/>
        <v>2.3445749463999688E-2</v>
      </c>
      <c r="S436" s="22">
        <v>3.278017501101127E-2</v>
      </c>
      <c r="T436" s="19">
        <f t="shared" si="48"/>
        <v>4.052005641085521E-2</v>
      </c>
      <c r="U436" s="24">
        <v>3.6208870664939941E-2</v>
      </c>
      <c r="V436" s="24">
        <f t="shared" si="49"/>
        <v>4.1008228097962007E-2</v>
      </c>
      <c r="W436" s="23">
        <f t="shared" si="50"/>
        <v>3.3531168194087524E-3</v>
      </c>
      <c r="X436" s="24">
        <v>3.5518650666257701E-2</v>
      </c>
      <c r="Y436" s="24">
        <f t="shared" si="51"/>
        <v>4.0904094465894936E-2</v>
      </c>
      <c r="Z436" s="23">
        <f t="shared" si="52"/>
        <v>3.3446364091815894E-3</v>
      </c>
      <c r="AA436" s="36"/>
    </row>
    <row r="437" spans="4:27" ht="13.9" customHeight="1">
      <c r="D437" s="8"/>
      <c r="E437" s="9"/>
      <c r="F437" s="19"/>
      <c r="G437" s="19"/>
      <c r="H437" s="19"/>
      <c r="J437" s="45"/>
      <c r="K437" s="45"/>
      <c r="L437" s="45"/>
      <c r="M437" s="43"/>
      <c r="O437" s="12">
        <f t="shared" si="46"/>
        <v>35.333333333333336</v>
      </c>
      <c r="P437" s="13">
        <v>424</v>
      </c>
      <c r="Q437" s="22">
        <v>2.8958676251733317E-2</v>
      </c>
      <c r="R437" s="19">
        <f t="shared" si="47"/>
        <v>2.3431964695214358E-2</v>
      </c>
      <c r="S437" s="22">
        <v>3.2798361546852783E-2</v>
      </c>
      <c r="T437" s="19">
        <f t="shared" si="48"/>
        <v>4.0547083744121748E-2</v>
      </c>
      <c r="U437" s="24">
        <v>3.6220163832987984E-2</v>
      </c>
      <c r="V437" s="24">
        <f t="shared" si="49"/>
        <v>4.1028423528037816E-2</v>
      </c>
      <c r="W437" s="23">
        <f t="shared" si="50"/>
        <v>3.354755775683671E-3</v>
      </c>
      <c r="X437" s="24">
        <v>3.5531319347689605E-2</v>
      </c>
      <c r="Y437" s="24">
        <f t="shared" si="51"/>
        <v>4.0925714511576006E-2</v>
      </c>
      <c r="Z437" s="23">
        <f t="shared" si="52"/>
        <v>3.3463914673486084E-3</v>
      </c>
      <c r="AA437" s="36"/>
    </row>
    <row r="438" spans="4:27" ht="13.9" customHeight="1">
      <c r="D438" s="8"/>
      <c r="E438" s="9"/>
      <c r="F438" s="19"/>
      <c r="G438" s="19"/>
      <c r="H438" s="19"/>
      <c r="J438" s="45"/>
      <c r="K438" s="45"/>
      <c r="L438" s="45"/>
      <c r="M438" s="43"/>
      <c r="O438" s="12">
        <f t="shared" si="46"/>
        <v>35.416666666666664</v>
      </c>
      <c r="P438" s="13">
        <v>425</v>
      </c>
      <c r="Q438" s="22">
        <v>2.8945637258180668E-2</v>
      </c>
      <c r="R438" s="19">
        <f t="shared" si="47"/>
        <v>2.3418570179324805E-2</v>
      </c>
      <c r="S438" s="22">
        <v>3.2816525939076246E-2</v>
      </c>
      <c r="T438" s="19">
        <f t="shared" si="48"/>
        <v>4.0573811650874703E-2</v>
      </c>
      <c r="U438" s="24">
        <v>3.6231451279082227E-2</v>
      </c>
      <c r="V438" s="24">
        <f t="shared" si="49"/>
        <v>4.1048411244553495E-2</v>
      </c>
      <c r="W438" s="23">
        <f t="shared" si="50"/>
        <v>3.3563778410441447E-3</v>
      </c>
      <c r="X438" s="24">
        <v>3.5543979173906504E-2</v>
      </c>
      <c r="Y438" s="24">
        <f t="shared" si="51"/>
        <v>4.0947108227681106E-2</v>
      </c>
      <c r="Z438" s="23">
        <f t="shared" si="52"/>
        <v>3.3481281137592855E-3</v>
      </c>
      <c r="AA438" s="36"/>
    </row>
    <row r="439" spans="4:27" ht="13.9" customHeight="1">
      <c r="D439" s="8"/>
      <c r="E439" s="9"/>
      <c r="F439" s="19"/>
      <c r="G439" s="19"/>
      <c r="H439" s="19"/>
      <c r="J439" s="45"/>
      <c r="K439" s="45"/>
      <c r="L439" s="45"/>
      <c r="M439" s="43"/>
      <c r="O439" s="12">
        <f t="shared" si="46"/>
        <v>35.5</v>
      </c>
      <c r="P439" s="13">
        <v>426</v>
      </c>
      <c r="Q439" s="22">
        <v>2.8932628032901198E-2</v>
      </c>
      <c r="R439" s="19">
        <f t="shared" si="47"/>
        <v>2.3405562615643749E-2</v>
      </c>
      <c r="S439" s="22">
        <v>3.2834667645413873E-2</v>
      </c>
      <c r="T439" s="19">
        <f t="shared" si="48"/>
        <v>4.0600243553740034E-2</v>
      </c>
      <c r="U439" s="24">
        <v>3.6242732557940416E-2</v>
      </c>
      <c r="V439" s="24">
        <f t="shared" si="49"/>
        <v>4.1068193442487022E-2</v>
      </c>
      <c r="W439" s="23">
        <f t="shared" si="50"/>
        <v>3.3579831947749827E-3</v>
      </c>
      <c r="X439" s="24">
        <v>3.5556629678445306E-2</v>
      </c>
      <c r="Y439" s="24">
        <f t="shared" si="51"/>
        <v>4.0968278050807161E-2</v>
      </c>
      <c r="Z439" s="23">
        <f t="shared" si="52"/>
        <v>3.3498465475299E-3</v>
      </c>
      <c r="AA439" s="36"/>
    </row>
    <row r="440" spans="4:27" ht="13.9" customHeight="1">
      <c r="D440" s="8"/>
      <c r="E440" s="9"/>
      <c r="F440" s="19"/>
      <c r="G440" s="19"/>
      <c r="H440" s="19"/>
      <c r="J440" s="45"/>
      <c r="K440" s="45"/>
      <c r="L440" s="45"/>
      <c r="M440" s="43"/>
      <c r="O440" s="12">
        <f t="shared" si="46"/>
        <v>35.583333333333336</v>
      </c>
      <c r="P440" s="13">
        <v>427</v>
      </c>
      <c r="Q440" s="22">
        <v>2.8919649277469928E-2</v>
      </c>
      <c r="R440" s="19">
        <f t="shared" si="47"/>
        <v>2.3392933768243473E-2</v>
      </c>
      <c r="S440" s="22">
        <v>3.2852786136640111E-2</v>
      </c>
      <c r="T440" s="19">
        <f t="shared" si="48"/>
        <v>4.0626382834288099E-2</v>
      </c>
      <c r="U440" s="24">
        <v>3.6254007233575303E-2</v>
      </c>
      <c r="V440" s="24">
        <f t="shared" si="49"/>
        <v>4.108777229376992E-2</v>
      </c>
      <c r="W440" s="23">
        <f t="shared" si="50"/>
        <v>3.3595720140477958E-3</v>
      </c>
      <c r="X440" s="24">
        <v>3.5569270404896214E-2</v>
      </c>
      <c r="Y440" s="24">
        <f t="shared" si="51"/>
        <v>4.0989226391006328E-2</v>
      </c>
      <c r="Z440" s="23">
        <f t="shared" si="52"/>
        <v>3.3515469654019636E-3</v>
      </c>
      <c r="AA440" s="36"/>
    </row>
    <row r="441" spans="4:27" ht="13.9" customHeight="1">
      <c r="D441" s="8"/>
      <c r="E441" s="9"/>
      <c r="F441" s="19"/>
      <c r="G441" s="19"/>
      <c r="H441" s="19"/>
      <c r="J441" s="45"/>
      <c r="K441" s="45"/>
      <c r="L441" s="45"/>
      <c r="M441" s="43"/>
      <c r="O441" s="12">
        <f t="shared" si="46"/>
        <v>35.666666666666664</v>
      </c>
      <c r="P441" s="13">
        <v>428</v>
      </c>
      <c r="Q441" s="22">
        <v>2.8906701667550161E-2</v>
      </c>
      <c r="R441" s="19">
        <f t="shared" si="47"/>
        <v>2.3380680400116427E-2</v>
      </c>
      <c r="S441" s="22">
        <v>3.2870880896322507E-2</v>
      </c>
      <c r="T441" s="19">
        <f t="shared" si="48"/>
        <v>4.0652232833165991E-2</v>
      </c>
      <c r="U441" s="24">
        <v>3.6265274879132114E-2</v>
      </c>
      <c r="V441" s="24">
        <f t="shared" si="49"/>
        <v>4.1107149945338817E-2</v>
      </c>
      <c r="W441" s="23">
        <f t="shared" si="50"/>
        <v>3.3611444741612484E-3</v>
      </c>
      <c r="X441" s="24">
        <v>3.5581900906723529E-2</v>
      </c>
      <c r="Y441" s="24">
        <f t="shared" si="51"/>
        <v>4.1009955630142869E-2</v>
      </c>
      <c r="Z441" s="23">
        <f t="shared" si="52"/>
        <v>3.3532295619587149E-3</v>
      </c>
      <c r="AA441" s="36"/>
    </row>
    <row r="442" spans="4:27" ht="13.9" customHeight="1">
      <c r="D442" s="8"/>
      <c r="E442" s="9"/>
      <c r="F442" s="19"/>
      <c r="G442" s="19"/>
      <c r="H442" s="19"/>
      <c r="J442" s="45"/>
      <c r="K442" s="45"/>
      <c r="L442" s="45"/>
      <c r="M442" s="43"/>
      <c r="O442" s="12">
        <f t="shared" si="46"/>
        <v>35.75</v>
      </c>
      <c r="P442" s="13">
        <v>429</v>
      </c>
      <c r="Q442" s="22">
        <v>2.8893785864910093E-2</v>
      </c>
      <c r="R442" s="19">
        <f t="shared" si="47"/>
        <v>2.3368800955344993E-2</v>
      </c>
      <c r="S442" s="22">
        <v>3.288895142057835E-2</v>
      </c>
      <c r="T442" s="19">
        <f t="shared" si="48"/>
        <v>4.0677796850200787E-2</v>
      </c>
      <c r="U442" s="24">
        <v>3.6276535076723349E-2</v>
      </c>
      <c r="V442" s="24">
        <f t="shared" si="49"/>
        <v>4.1126328520565636E-2</v>
      </c>
      <c r="W442" s="23">
        <f t="shared" si="50"/>
        <v>3.3627007483862936E-3</v>
      </c>
      <c r="X442" s="24">
        <v>3.5594520747084468E-2</v>
      </c>
      <c r="Y442" s="24">
        <f t="shared" si="51"/>
        <v>4.1030468124521047E-2</v>
      </c>
      <c r="Z442" s="23">
        <f t="shared" si="52"/>
        <v>3.3548945294950006E-3</v>
      </c>
      <c r="AA442" s="36"/>
    </row>
    <row r="443" spans="4:27" ht="13.9" customHeight="1">
      <c r="D443" s="8"/>
      <c r="E443" s="9"/>
      <c r="F443" s="19"/>
      <c r="G443" s="19"/>
      <c r="H443" s="19"/>
      <c r="J443" s="45"/>
      <c r="K443" s="45"/>
      <c r="L443" s="45"/>
      <c r="M443" s="43"/>
      <c r="O443" s="12">
        <f t="shared" si="46"/>
        <v>35.833333333333336</v>
      </c>
      <c r="P443" s="13">
        <v>430</v>
      </c>
      <c r="Q443" s="22">
        <v>2.8880902521514207E-2</v>
      </c>
      <c r="R443" s="19">
        <f t="shared" si="47"/>
        <v>2.3357293901447918E-2</v>
      </c>
      <c r="S443" s="22">
        <v>3.2906997217833522E-2</v>
      </c>
      <c r="T443" s="19">
        <f t="shared" si="48"/>
        <v>4.0703078146319127E-2</v>
      </c>
      <c r="U443" s="24">
        <v>3.6287787417270012E-2</v>
      </c>
      <c r="V443" s="24">
        <f t="shared" si="49"/>
        <v>4.1145310119591327E-2</v>
      </c>
      <c r="W443" s="23">
        <f t="shared" si="50"/>
        <v>3.3642410080807483E-3</v>
      </c>
      <c r="X443" s="24">
        <v>3.5607129498656631E-2</v>
      </c>
      <c r="Y443" s="24">
        <f t="shared" si="51"/>
        <v>4.1050766201783606E-2</v>
      </c>
      <c r="Z443" s="23">
        <f t="shared" si="52"/>
        <v>3.3565420582282179E-3</v>
      </c>
      <c r="AA443" s="36"/>
    </row>
    <row r="444" spans="4:27" ht="13.9" customHeight="1">
      <c r="D444" s="8"/>
      <c r="E444" s="9"/>
      <c r="F444" s="19"/>
      <c r="G444" s="19"/>
      <c r="H444" s="19"/>
      <c r="J444" s="45"/>
      <c r="K444" s="45"/>
      <c r="L444" s="45"/>
      <c r="M444" s="43"/>
      <c r="O444" s="12">
        <f t="shared" si="46"/>
        <v>35.916666666666664</v>
      </c>
      <c r="P444" s="13">
        <v>431</v>
      </c>
      <c r="Q444" s="22">
        <v>2.8868052279691359E-2</v>
      </c>
      <c r="R444" s="19">
        <f t="shared" si="47"/>
        <v>2.334615773051274E-2</v>
      </c>
      <c r="S444" s="22">
        <v>3.2925017808589807E-2</v>
      </c>
      <c r="T444" s="19">
        <f t="shared" si="48"/>
        <v>4.0728079942507156E-2</v>
      </c>
      <c r="U444" s="24">
        <v>3.6299031500345302E-2</v>
      </c>
      <c r="V444" s="24">
        <f t="shared" si="49"/>
        <v>4.1164096818890661E-2</v>
      </c>
      <c r="W444" s="23">
        <f t="shared" si="50"/>
        <v>3.3657654227163825E-3</v>
      </c>
      <c r="X444" s="24">
        <v>3.5619726743462143E-2</v>
      </c>
      <c r="Y444" s="24">
        <f t="shared" si="51"/>
        <v>4.1070852165100868E-2</v>
      </c>
      <c r="Z444" s="23">
        <f t="shared" si="52"/>
        <v>3.3581723360500693E-3</v>
      </c>
      <c r="AA444" s="36"/>
    </row>
    <row r="445" spans="4:27" ht="13.9" customHeight="1">
      <c r="D445" s="8"/>
      <c r="E445" s="9"/>
      <c r="F445" s="19"/>
      <c r="G445" s="19"/>
      <c r="H445" s="19"/>
      <c r="J445" s="45"/>
      <c r="K445" s="45"/>
      <c r="L445" s="45"/>
      <c r="M445" s="43"/>
      <c r="O445" s="12">
        <f t="shared" si="46"/>
        <v>36</v>
      </c>
      <c r="P445" s="13">
        <v>432</v>
      </c>
      <c r="Q445" s="22">
        <v>2.8855235772302645E-2</v>
      </c>
      <c r="R445" s="19">
        <f t="shared" si="47"/>
        <v>2.3335389331289758E-2</v>
      </c>
      <c r="S445" s="22">
        <v>3.2943012725192844E-2</v>
      </c>
      <c r="T445" s="19">
        <f t="shared" si="48"/>
        <v>4.0752805420934068E-2</v>
      </c>
      <c r="U445" s="24">
        <v>3.6310266934019619E-2</v>
      </c>
      <c r="V445" s="24">
        <f t="shared" si="49"/>
        <v>4.1182690671878186E-2</v>
      </c>
      <c r="W445" s="23">
        <f t="shared" si="50"/>
        <v>3.3672741598451683E-3</v>
      </c>
      <c r="X445" s="24">
        <v>3.5632312072701566E-2</v>
      </c>
      <c r="Y445" s="24">
        <f t="shared" si="51"/>
        <v>4.1090728290771983E-2</v>
      </c>
      <c r="Z445" s="23">
        <f t="shared" si="52"/>
        <v>3.3597855488638473E-3</v>
      </c>
      <c r="AA445" s="36"/>
    </row>
    <row r="446" spans="4:27" ht="13.9" customHeight="1">
      <c r="D446" s="8"/>
      <c r="E446" s="9"/>
      <c r="F446" s="19"/>
      <c r="G446" s="19"/>
      <c r="H446" s="19"/>
      <c r="J446" s="45"/>
      <c r="K446" s="45"/>
      <c r="L446" s="45"/>
      <c r="M446" s="43"/>
      <c r="O446" s="12">
        <f t="shared" si="46"/>
        <v>36.083333333333336</v>
      </c>
      <c r="P446" s="13">
        <v>433</v>
      </c>
      <c r="Q446" s="22">
        <v>2.8842453619127184E-2</v>
      </c>
      <c r="R446" s="19">
        <f t="shared" si="47"/>
        <v>2.3324980737683632E-2</v>
      </c>
      <c r="S446" s="22">
        <v>3.2960981511605869E-2</v>
      </c>
      <c r="T446" s="19">
        <f t="shared" si="48"/>
        <v>4.0777257726056781E-2</v>
      </c>
      <c r="U446" s="24">
        <v>3.6321493334709132E-2</v>
      </c>
      <c r="V446" s="24">
        <f t="shared" si="49"/>
        <v>4.1201093710030889E-2</v>
      </c>
      <c r="W446" s="23">
        <f t="shared" si="50"/>
        <v>3.3687673851476863E-3</v>
      </c>
      <c r="X446" s="24">
        <v>3.5644885086586475E-2</v>
      </c>
      <c r="Y446" s="24">
        <f t="shared" si="51"/>
        <v>4.1110396829170393E-2</v>
      </c>
      <c r="Z446" s="23">
        <f t="shared" si="52"/>
        <v>3.3613818803910345E-3</v>
      </c>
      <c r="AA446" s="36"/>
    </row>
    <row r="447" spans="4:27" ht="13.9" customHeight="1">
      <c r="D447" s="8"/>
      <c r="E447" s="9"/>
      <c r="F447" s="19"/>
      <c r="G447" s="19"/>
      <c r="H447" s="19"/>
      <c r="J447" s="45"/>
      <c r="K447" s="45"/>
      <c r="L447" s="45"/>
      <c r="M447" s="43"/>
      <c r="O447" s="12">
        <f t="shared" si="46"/>
        <v>36.166666666666664</v>
      </c>
      <c r="P447" s="13">
        <v>434</v>
      </c>
      <c r="Q447" s="22">
        <v>2.8829706415766099E-2</v>
      </c>
      <c r="R447" s="19">
        <f t="shared" si="47"/>
        <v>2.331492890111142E-2</v>
      </c>
      <c r="S447" s="22">
        <v>3.2978923723189224E-2</v>
      </c>
      <c r="T447" s="19">
        <f t="shared" si="48"/>
        <v>4.0801439964375907E-2</v>
      </c>
      <c r="U447" s="24">
        <v>3.6332710327029005E-2</v>
      </c>
      <c r="V447" s="24">
        <f t="shared" si="49"/>
        <v>4.1219307941375183E-2</v>
      </c>
      <c r="W447" s="23">
        <f t="shared" si="50"/>
        <v>3.3702452625243851E-3</v>
      </c>
      <c r="X447" s="24">
        <v>3.5657445394176035E-2</v>
      </c>
      <c r="Y447" s="24">
        <f t="shared" si="51"/>
        <v>4.1129860006524632E-2</v>
      </c>
      <c r="Z447" s="23">
        <f t="shared" si="52"/>
        <v>3.3629615122499068E-3</v>
      </c>
      <c r="AA447" s="36"/>
    </row>
    <row r="448" spans="4:27" ht="13.9" customHeight="1">
      <c r="D448" s="8"/>
      <c r="E448" s="9"/>
      <c r="F448" s="19"/>
      <c r="G448" s="19"/>
      <c r="H448" s="19"/>
      <c r="J448" s="45"/>
      <c r="K448" s="45"/>
      <c r="L448" s="45"/>
      <c r="M448" s="43"/>
      <c r="O448" s="12">
        <f t="shared" si="46"/>
        <v>36.25</v>
      </c>
      <c r="P448" s="13">
        <v>435</v>
      </c>
      <c r="Q448" s="22">
        <v>2.8816994745285207E-2</v>
      </c>
      <c r="R448" s="19">
        <f t="shared" si="47"/>
        <v>2.3305232425784528E-2</v>
      </c>
      <c r="S448" s="22">
        <v>3.299683892648253E-2</v>
      </c>
      <c r="T448" s="19">
        <f t="shared" si="48"/>
        <v>4.0825355205062808E-2</v>
      </c>
      <c r="U448" s="24">
        <v>3.6343917543645521E-2</v>
      </c>
      <c r="V448" s="24">
        <f t="shared" si="49"/>
        <v>4.1237335352448445E-2</v>
      </c>
      <c r="W448" s="23">
        <f t="shared" si="50"/>
        <v>3.3717079539736794E-3</v>
      </c>
      <c r="X448" s="24">
        <v>3.5669992613219126E-2</v>
      </c>
      <c r="Y448" s="24">
        <f t="shared" si="51"/>
        <v>4.1149120022898167E-2</v>
      </c>
      <c r="Z448" s="23">
        <f t="shared" si="52"/>
        <v>3.3645246240969762E-3</v>
      </c>
      <c r="AA448" s="36"/>
    </row>
    <row r="449" spans="4:27" ht="13.9" customHeight="1">
      <c r="D449" s="8"/>
      <c r="E449" s="9"/>
      <c r="F449" s="19"/>
      <c r="G449" s="19"/>
      <c r="H449" s="19"/>
      <c r="J449" s="45"/>
      <c r="K449" s="45"/>
      <c r="L449" s="45"/>
      <c r="M449" s="43"/>
      <c r="O449" s="12">
        <f t="shared" si="46"/>
        <v>36.333333333333336</v>
      </c>
      <c r="P449" s="13">
        <v>436</v>
      </c>
      <c r="Q449" s="22">
        <v>2.8804319182170079E-2</v>
      </c>
      <c r="R449" s="19">
        <f t="shared" si="47"/>
        <v>2.3295889938823811E-2</v>
      </c>
      <c r="S449" s="22">
        <v>3.3014726698990859E-2</v>
      </c>
      <c r="T449" s="19">
        <f t="shared" si="48"/>
        <v>4.084900648031331E-2</v>
      </c>
      <c r="U449" s="24">
        <v>3.6355114625133966E-2</v>
      </c>
      <c r="V449" s="24">
        <f t="shared" si="49"/>
        <v>4.1255177907842056E-2</v>
      </c>
      <c r="W449" s="23">
        <f t="shared" si="50"/>
        <v>3.3731556197507118E-3</v>
      </c>
      <c r="X449" s="24">
        <v>3.568252636999536E-2</v>
      </c>
      <c r="Y449" s="24">
        <f t="shared" si="51"/>
        <v>4.1168179053663767E-2</v>
      </c>
      <c r="Z449" s="23">
        <f t="shared" si="52"/>
        <v>3.3660713934662301E-3</v>
      </c>
      <c r="AA449" s="36"/>
    </row>
    <row r="450" spans="4:27" ht="13.9" customHeight="1">
      <c r="D450" s="8"/>
      <c r="E450" s="9"/>
      <c r="F450" s="19"/>
      <c r="G450" s="19"/>
      <c r="H450" s="19"/>
      <c r="J450" s="45"/>
      <c r="K450" s="45"/>
      <c r="L450" s="45"/>
      <c r="M450" s="43"/>
      <c r="O450" s="12">
        <f t="shared" si="46"/>
        <v>36.416666666666664</v>
      </c>
      <c r="P450" s="13">
        <v>437</v>
      </c>
      <c r="Q450" s="22">
        <v>2.8791680292475696E-2</v>
      </c>
      <c r="R450" s="19">
        <f t="shared" si="47"/>
        <v>2.3286900091868512E-2</v>
      </c>
      <c r="S450" s="22">
        <v>3.3032586628974903E-2</v>
      </c>
      <c r="T450" s="19">
        <f t="shared" si="48"/>
        <v>4.0872396786750365E-2</v>
      </c>
      <c r="U450" s="24">
        <v>3.636630121983786E-2</v>
      </c>
      <c r="V450" s="24">
        <f t="shared" si="49"/>
        <v>4.1272837550329511E-2</v>
      </c>
      <c r="W450" s="23">
        <f t="shared" si="50"/>
        <v>3.3745884183304931E-3</v>
      </c>
      <c r="X450" s="24">
        <v>3.569504629916076E-2</v>
      </c>
      <c r="Y450" s="24">
        <f t="shared" si="51"/>
        <v>4.1187039250563551E-2</v>
      </c>
      <c r="Z450" s="23">
        <f t="shared" si="52"/>
        <v>3.3676019958885917E-3</v>
      </c>
      <c r="AA450" s="36"/>
    </row>
    <row r="451" spans="4:27" ht="13.9" customHeight="1">
      <c r="D451" s="8"/>
      <c r="E451" s="9"/>
      <c r="F451" s="19"/>
      <c r="G451" s="19"/>
      <c r="H451" s="19"/>
      <c r="J451" s="45"/>
      <c r="K451" s="45"/>
      <c r="L451" s="45"/>
      <c r="M451" s="43"/>
      <c r="O451" s="12">
        <f t="shared" si="46"/>
        <v>36.5</v>
      </c>
      <c r="P451" s="13">
        <v>438</v>
      </c>
      <c r="Q451" s="22">
        <v>2.8779078633978994E-2</v>
      </c>
      <c r="R451" s="19">
        <f t="shared" si="47"/>
        <v>2.3278259958477099E-2</v>
      </c>
      <c r="S451" s="22">
        <v>3.3050418315247798E-2</v>
      </c>
      <c r="T451" s="19">
        <f t="shared" si="48"/>
        <v>4.0895529084581828E-2</v>
      </c>
      <c r="U451" s="24">
        <v>3.6377476983731061E-2</v>
      </c>
      <c r="V451" s="24">
        <f t="shared" si="49"/>
        <v>4.129031620146284E-2</v>
      </c>
      <c r="W451" s="23">
        <f t="shared" si="50"/>
        <v>3.3760065064187827E-3</v>
      </c>
      <c r="X451" s="24">
        <v>3.5707552043598101E-2</v>
      </c>
      <c r="Y451" s="24">
        <f t="shared" si="51"/>
        <v>4.1205702740556793E-2</v>
      </c>
      <c r="Z451" s="23">
        <f t="shared" si="52"/>
        <v>3.3691166049758525E-3</v>
      </c>
      <c r="AA451" s="36"/>
    </row>
    <row r="452" spans="4:27" ht="13.9" customHeight="1">
      <c r="D452" s="8"/>
      <c r="E452" s="9"/>
      <c r="F452" s="19"/>
      <c r="G452" s="19"/>
      <c r="H452" s="19"/>
      <c r="J452" s="45"/>
      <c r="K452" s="45"/>
      <c r="L452" s="45"/>
      <c r="M452" s="43"/>
      <c r="O452" s="12">
        <f t="shared" si="46"/>
        <v>36.583333333333336</v>
      </c>
      <c r="P452" s="13">
        <v>439</v>
      </c>
      <c r="Q452" s="22">
        <v>2.8766514752658345E-2</v>
      </c>
      <c r="R452" s="19">
        <f t="shared" si="47"/>
        <v>2.3269961837046882E-2</v>
      </c>
      <c r="S452" s="22">
        <v>3.3068221366971295E-2</v>
      </c>
      <c r="T452" s="19">
        <f t="shared" si="48"/>
        <v>4.0918406298881438E-2</v>
      </c>
      <c r="U452" s="24">
        <v>3.6388641580281877E-2</v>
      </c>
      <c r="V452" s="24">
        <f t="shared" si="49"/>
        <v>4.1307615761281058E-2</v>
      </c>
      <c r="W452" s="23">
        <f t="shared" si="50"/>
        <v>3.3774100390007167E-3</v>
      </c>
      <c r="X452" s="24">
        <v>3.5720043254266809E-2</v>
      </c>
      <c r="Y452" s="24">
        <f t="shared" si="51"/>
        <v>4.1224171626998318E-2</v>
      </c>
      <c r="Z452" s="23">
        <f t="shared" si="52"/>
        <v>3.3706153923305227E-3</v>
      </c>
      <c r="AA452" s="36"/>
    </row>
    <row r="453" spans="4:27" ht="13.9" customHeight="1">
      <c r="D453" s="8"/>
      <c r="E453" s="9"/>
      <c r="F453" s="19"/>
      <c r="G453" s="19"/>
      <c r="H453" s="19"/>
      <c r="J453" s="45"/>
      <c r="K453" s="45"/>
      <c r="L453" s="45"/>
      <c r="M453" s="43"/>
      <c r="O453" s="12">
        <f t="shared" si="46"/>
        <v>36.666666666666664</v>
      </c>
      <c r="P453" s="13">
        <v>440</v>
      </c>
      <c r="Q453" s="22">
        <v>2.8753989171916405E-2</v>
      </c>
      <c r="R453" s="19">
        <f t="shared" si="47"/>
        <v>2.326200286234692E-2</v>
      </c>
      <c r="S453" s="22">
        <v>3.3085995403459467E-2</v>
      </c>
      <c r="T453" s="19">
        <f t="shared" si="48"/>
        <v>4.0941031319781107E-2</v>
      </c>
      <c r="U453" s="24">
        <v>3.6399794680319397E-2</v>
      </c>
      <c r="V453" s="24">
        <f t="shared" si="49"/>
        <v>4.1324738109718817E-2</v>
      </c>
      <c r="W453" s="23">
        <f t="shared" si="50"/>
        <v>3.3787991693168262E-3</v>
      </c>
      <c r="X453" s="24">
        <v>3.5732519590057521E-2</v>
      </c>
      <c r="Y453" s="24">
        <f t="shared" si="51"/>
        <v>4.1242447989421338E-2</v>
      </c>
      <c r="Z453" s="23">
        <f t="shared" si="52"/>
        <v>3.3720985276393112E-3</v>
      </c>
      <c r="AA453" s="36"/>
    </row>
    <row r="454" spans="4:27" ht="13.9" customHeight="1">
      <c r="D454" s="8"/>
      <c r="E454" s="9"/>
      <c r="F454" s="19"/>
      <c r="G454" s="19"/>
      <c r="H454" s="19"/>
      <c r="J454" s="45"/>
      <c r="K454" s="45"/>
      <c r="L454" s="45"/>
      <c r="M454" s="43"/>
      <c r="O454" s="12">
        <f t="shared" si="46"/>
        <v>36.75</v>
      </c>
      <c r="P454" s="13">
        <v>441</v>
      </c>
      <c r="Q454" s="22">
        <v>2.8741502403861974E-2</v>
      </c>
      <c r="R454" s="19">
        <f t="shared" si="47"/>
        <v>2.3254381794812762E-2</v>
      </c>
      <c r="S454" s="22">
        <v>3.3103740053984199E-2</v>
      </c>
      <c r="T454" s="19">
        <f t="shared" si="48"/>
        <v>4.0963407003058894E-2</v>
      </c>
      <c r="U454" s="24">
        <v>3.6410935961904256E-2</v>
      </c>
      <c r="V454" s="24">
        <f t="shared" si="49"/>
        <v>4.134168510535341E-2</v>
      </c>
      <c r="W454" s="23">
        <f t="shared" si="50"/>
        <v>3.3801740489776133E-3</v>
      </c>
      <c r="X454" s="24">
        <v>3.5744980717648644E-2</v>
      </c>
      <c r="Y454" s="24">
        <f t="shared" si="51"/>
        <v>4.1260533884690531E-2</v>
      </c>
      <c r="Z454" s="23">
        <f t="shared" si="52"/>
        <v>3.3735661786578053E-3</v>
      </c>
      <c r="AA454" s="36"/>
    </row>
    <row r="455" spans="4:27" ht="13.9" customHeight="1">
      <c r="D455" s="8"/>
      <c r="E455" s="9"/>
      <c r="F455" s="19"/>
      <c r="G455" s="19"/>
      <c r="H455" s="19"/>
      <c r="J455" s="45"/>
      <c r="K455" s="45"/>
      <c r="L455" s="45"/>
      <c r="M455" s="43"/>
      <c r="O455" s="12">
        <f t="shared" si="46"/>
        <v>36.833333333333336</v>
      </c>
      <c r="P455" s="13">
        <v>442</v>
      </c>
      <c r="Q455" s="22">
        <v>2.872905495313427E-2</v>
      </c>
      <c r="R455" s="19">
        <f t="shared" si="47"/>
        <v>2.3247097417744556E-2</v>
      </c>
      <c r="S455" s="22">
        <v>3.3121454957585339E-2</v>
      </c>
      <c r="T455" s="19">
        <f t="shared" si="48"/>
        <v>4.0985536170822456E-2</v>
      </c>
      <c r="U455" s="24">
        <v>3.6422065110198298E-2</v>
      </c>
      <c r="V455" s="24">
        <f t="shared" si="49"/>
        <v>4.135845858687337E-2</v>
      </c>
      <c r="W455" s="23">
        <f t="shared" si="50"/>
        <v>3.3815348278627422E-3</v>
      </c>
      <c r="X455" s="24">
        <v>3.5757426311366247E-2</v>
      </c>
      <c r="Y455" s="24">
        <f t="shared" si="51"/>
        <v>4.1278431345929345E-2</v>
      </c>
      <c r="Z455" s="23">
        <f t="shared" si="52"/>
        <v>3.3750185113015085E-3</v>
      </c>
      <c r="AA455" s="36"/>
    </row>
    <row r="456" spans="4:27" ht="13.9" customHeight="1">
      <c r="D456" s="8"/>
      <c r="E456" s="9"/>
      <c r="F456" s="19"/>
      <c r="G456" s="19"/>
      <c r="H456" s="19"/>
      <c r="J456" s="45"/>
      <c r="K456" s="45"/>
      <c r="L456" s="45"/>
      <c r="M456" s="43"/>
      <c r="O456" s="12">
        <f t="shared" si="46"/>
        <v>36.916666666666664</v>
      </c>
      <c r="P456" s="13">
        <v>443</v>
      </c>
      <c r="Q456" s="22">
        <v>2.8716647317039934E-2</v>
      </c>
      <c r="R456" s="19">
        <f t="shared" si="47"/>
        <v>2.3240148537457372E-2</v>
      </c>
      <c r="S456" s="22">
        <v>3.3139139762884628E-2</v>
      </c>
      <c r="T456" s="19">
        <f t="shared" si="48"/>
        <v>4.1007421611019446E-2</v>
      </c>
      <c r="U456" s="24">
        <v>3.6433181817340232E-2</v>
      </c>
      <c r="V456" s="24">
        <f t="shared" si="49"/>
        <v>4.1375060372377925E-2</v>
      </c>
      <c r="W456" s="23">
        <f t="shared" si="50"/>
        <v>3.3828816542391671E-3</v>
      </c>
      <c r="X456" s="24">
        <v>3.5769856053044835E-2</v>
      </c>
      <c r="Y456" s="24">
        <f t="shared" si="51"/>
        <v>4.1296142384237733E-2</v>
      </c>
      <c r="Z456" s="23">
        <f t="shared" si="52"/>
        <v>3.376455689561908E-3</v>
      </c>
      <c r="AA456" s="36"/>
    </row>
    <row r="457" spans="4:27" ht="13.9" customHeight="1">
      <c r="D457" s="8"/>
      <c r="E457" s="9"/>
      <c r="F457" s="19"/>
      <c r="G457" s="19"/>
      <c r="H457" s="19"/>
      <c r="J457" s="45"/>
      <c r="K457" s="45"/>
      <c r="L457" s="45"/>
      <c r="M457" s="43"/>
      <c r="O457" s="12">
        <f t="shared" si="46"/>
        <v>37</v>
      </c>
      <c r="P457" s="13">
        <v>444</v>
      </c>
      <c r="Q457" s="22">
        <v>2.8704279985686032E-2</v>
      </c>
      <c r="R457" s="19">
        <f t="shared" si="47"/>
        <v>2.3233532407962887E-2</v>
      </c>
      <c r="S457" s="22">
        <v>3.3156794127901179E-2</v>
      </c>
      <c r="T457" s="19">
        <f t="shared" si="48"/>
        <v>4.1029066078818177E-2</v>
      </c>
      <c r="U457" s="24">
        <v>3.6444285782319952E-2</v>
      </c>
      <c r="V457" s="24">
        <f t="shared" si="49"/>
        <v>4.1391492260828056E-2</v>
      </c>
      <c r="W457" s="23">
        <f t="shared" si="50"/>
        <v>3.3842146747060653E-3</v>
      </c>
      <c r="X457" s="24">
        <v>3.5782269631892794E-2</v>
      </c>
      <c r="Y457" s="24">
        <f t="shared" si="51"/>
        <v>4.1313668988051333E-2</v>
      </c>
      <c r="Z457" s="23">
        <f t="shared" si="52"/>
        <v>3.3778778756436978E-3</v>
      </c>
      <c r="AA457" s="36"/>
    </row>
    <row r="458" spans="4:27" ht="13.9" customHeight="1">
      <c r="D458" s="8"/>
      <c r="E458" s="9"/>
      <c r="F458" s="19"/>
      <c r="G458" s="19"/>
      <c r="H458" s="19"/>
      <c r="J458" s="45"/>
      <c r="K458" s="45"/>
      <c r="L458" s="45"/>
      <c r="M458" s="43"/>
      <c r="O458" s="12">
        <f t="shared" si="46"/>
        <v>37.083333333333336</v>
      </c>
      <c r="P458" s="13">
        <v>445</v>
      </c>
      <c r="Q458" s="22">
        <v>2.869195343855413E-2</v>
      </c>
      <c r="R458" s="19">
        <f t="shared" si="47"/>
        <v>2.3227241586254888E-2</v>
      </c>
      <c r="S458" s="22">
        <v>3.3174417719872507E-2</v>
      </c>
      <c r="T458" s="19">
        <f t="shared" si="48"/>
        <v>4.1050472297072371E-2</v>
      </c>
      <c r="U458" s="24">
        <v>3.6455376710858856E-2</v>
      </c>
      <c r="V458" s="24">
        <f t="shared" si="49"/>
        <v>4.1407756030346299E-2</v>
      </c>
      <c r="W458" s="23">
        <f t="shared" si="50"/>
        <v>3.3855340343103002E-3</v>
      </c>
      <c r="X458" s="24">
        <v>3.579466674435916E-2</v>
      </c>
      <c r="Y458" s="24">
        <f t="shared" si="51"/>
        <v>4.1331013123053761E-2</v>
      </c>
      <c r="Z458" s="23">
        <f t="shared" si="52"/>
        <v>3.379285229914597E-3</v>
      </c>
      <c r="AA458" s="36"/>
    </row>
    <row r="459" spans="4:27" ht="13.9" customHeight="1">
      <c r="D459" s="8"/>
      <c r="E459" s="9"/>
      <c r="F459" s="19"/>
      <c r="G459" s="19"/>
      <c r="H459" s="19"/>
      <c r="J459" s="45"/>
      <c r="K459" s="45"/>
      <c r="L459" s="45"/>
      <c r="M459" s="43"/>
      <c r="O459" s="12">
        <f t="shared" si="46"/>
        <v>37.166666666666664</v>
      </c>
      <c r="P459" s="13">
        <v>446</v>
      </c>
      <c r="Q459" s="22">
        <v>2.8679668134031777E-2</v>
      </c>
      <c r="R459" s="19">
        <f t="shared" si="47"/>
        <v>2.3221273386103691E-2</v>
      </c>
      <c r="S459" s="22">
        <v>3.3192010215079115E-2</v>
      </c>
      <c r="T459" s="19">
        <f t="shared" si="48"/>
        <v>4.1071642955484045E-2</v>
      </c>
      <c r="U459" s="24">
        <v>3.6466454315287944E-2</v>
      </c>
      <c r="V459" s="24">
        <f t="shared" si="49"/>
        <v>4.1423853440932801E-2</v>
      </c>
      <c r="W459" s="23">
        <f t="shared" si="50"/>
        <v>3.3868398764116403E-3</v>
      </c>
      <c r="X459" s="24">
        <v>3.5807047094001065E-2</v>
      </c>
      <c r="Y459" s="24">
        <f t="shared" si="51"/>
        <v>4.1348176734140152E-2</v>
      </c>
      <c r="Z459" s="23">
        <f t="shared" si="52"/>
        <v>3.3806779108975782E-3</v>
      </c>
      <c r="AA459" s="36"/>
    </row>
    <row r="460" spans="4:27" ht="13.9" customHeight="1">
      <c r="D460" s="8"/>
      <c r="E460" s="9"/>
      <c r="F460" s="19"/>
      <c r="G460" s="19"/>
      <c r="H460" s="19"/>
      <c r="J460" s="45"/>
      <c r="K460" s="45"/>
      <c r="L460" s="45"/>
      <c r="M460" s="43"/>
      <c r="O460" s="12">
        <f t="shared" si="46"/>
        <v>37.25</v>
      </c>
      <c r="P460" s="13">
        <v>447</v>
      </c>
      <c r="Q460" s="22">
        <v>2.8667424520346652E-2</v>
      </c>
      <c r="R460" s="19">
        <f t="shared" si="47"/>
        <v>2.3215626719825799E-2</v>
      </c>
      <c r="S460" s="22">
        <v>3.3209571298669749E-2</v>
      </c>
      <c r="T460" s="19">
        <f t="shared" si="48"/>
        <v>4.1092580713006477E-2</v>
      </c>
      <c r="U460" s="24">
        <v>3.6477518314433022E-2</v>
      </c>
      <c r="V460" s="24">
        <f t="shared" si="49"/>
        <v>4.1439786232420506E-2</v>
      </c>
      <c r="W460" s="23">
        <f t="shared" si="50"/>
        <v>3.3881323429003629E-3</v>
      </c>
      <c r="X460" s="24">
        <v>3.5819410391358053E-2</v>
      </c>
      <c r="Y460" s="24">
        <f t="shared" si="51"/>
        <v>4.1365161743865508E-2</v>
      </c>
      <c r="Z460" s="23">
        <f t="shared" si="52"/>
        <v>3.3820560754302953E-3</v>
      </c>
      <c r="AA460" s="36"/>
    </row>
    <row r="461" spans="4:27" ht="13.9" customHeight="1">
      <c r="D461" s="8"/>
      <c r="E461" s="9"/>
      <c r="F461" s="19"/>
      <c r="G461" s="19"/>
      <c r="H461" s="19"/>
      <c r="J461" s="45"/>
      <c r="K461" s="45"/>
      <c r="L461" s="45"/>
      <c r="M461" s="43"/>
      <c r="O461" s="12">
        <f t="shared" si="46"/>
        <v>37.333333333333336</v>
      </c>
      <c r="P461" s="13">
        <v>448</v>
      </c>
      <c r="Q461" s="22">
        <v>2.8655223039266486E-2</v>
      </c>
      <c r="R461" s="19">
        <f t="shared" si="47"/>
        <v>2.3210300522639615E-2</v>
      </c>
      <c r="S461" s="22">
        <v>3.3227100664493303E-2</v>
      </c>
      <c r="T461" s="19">
        <f t="shared" si="48"/>
        <v>4.1113288196236164E-2</v>
      </c>
      <c r="U461" s="24">
        <v>3.6488568433497237E-2</v>
      </c>
      <c r="V461" s="24">
        <f t="shared" si="49"/>
        <v>4.1455556125960635E-2</v>
      </c>
      <c r="W461" s="23">
        <f t="shared" si="50"/>
        <v>3.3894115740336073E-3</v>
      </c>
      <c r="X461" s="24">
        <v>3.5831756353823963E-2</v>
      </c>
      <c r="Y461" s="24">
        <f t="shared" si="51"/>
        <v>4.1381970053243844E-2</v>
      </c>
      <c r="Z461" s="23">
        <f t="shared" si="52"/>
        <v>3.3834198785398506E-3</v>
      </c>
      <c r="AA461" s="36"/>
    </row>
    <row r="462" spans="4:27" ht="13.9" customHeight="1">
      <c r="D462" s="8"/>
      <c r="E462" s="9"/>
      <c r="F462" s="19"/>
      <c r="G462" s="19"/>
      <c r="H462" s="19"/>
      <c r="J462" s="45"/>
      <c r="K462" s="45"/>
      <c r="L462" s="45"/>
      <c r="M462" s="43"/>
      <c r="O462" s="12">
        <f t="shared" ref="O462:O525" si="53">P462/12</f>
        <v>37.416666666666664</v>
      </c>
      <c r="P462" s="13">
        <v>449</v>
      </c>
      <c r="Q462" s="22">
        <v>2.8643064126222528E-2</v>
      </c>
      <c r="R462" s="19">
        <f t="shared" ref="R462:R525" si="54">(1+Q463)^P463/(1+Q462)^P462-1</f>
        <v>2.3205293751103806E-2</v>
      </c>
      <c r="S462" s="22">
        <v>3.3244598014931404E-2</v>
      </c>
      <c r="T462" s="19">
        <f t="shared" ref="T462:T525" si="55">(1+S463)^P463/(1+S462)^P462-1</f>
        <v>4.1133768001287541E-2</v>
      </c>
      <c r="U462" s="24">
        <v>3.6499604403948949E-2</v>
      </c>
      <c r="V462" s="24">
        <f t="shared" ref="V462:V525" si="56">(1+U463)^P463/(1+U462)^P462-1</f>
        <v>4.1471164824200324E-2</v>
      </c>
      <c r="W462" s="23">
        <f t="shared" si="50"/>
        <v>3.3906777085548345E-3</v>
      </c>
      <c r="X462" s="24">
        <v>3.5844084705523471E-2</v>
      </c>
      <c r="Y462" s="24">
        <f t="shared" si="51"/>
        <v>4.139860354291347E-2</v>
      </c>
      <c r="Z462" s="23">
        <f t="shared" si="52"/>
        <v>3.3847694735074096E-3</v>
      </c>
      <c r="AA462" s="36"/>
    </row>
    <row r="463" spans="4:27" ht="13.9" customHeight="1">
      <c r="D463" s="8"/>
      <c r="E463" s="9"/>
      <c r="F463" s="19"/>
      <c r="G463" s="19"/>
      <c r="H463" s="19"/>
      <c r="J463" s="45"/>
      <c r="K463" s="45"/>
      <c r="L463" s="45"/>
      <c r="M463" s="43"/>
      <c r="O463" s="12">
        <f t="shared" si="53"/>
        <v>37.5</v>
      </c>
      <c r="P463" s="13">
        <v>450</v>
      </c>
      <c r="Q463" s="22">
        <v>2.8630948210426999E-2</v>
      </c>
      <c r="R463" s="19">
        <f t="shared" si="54"/>
        <v>2.3200603835417777E-2</v>
      </c>
      <c r="S463" s="22">
        <v>3.3262063060734981E-2</v>
      </c>
      <c r="T463" s="19">
        <f t="shared" si="55"/>
        <v>4.1154022693407066E-2</v>
      </c>
      <c r="U463" s="24">
        <v>3.6510625963410259E-2</v>
      </c>
      <c r="V463" s="24">
        <f t="shared" si="56"/>
        <v>4.1486614011026157E-2</v>
      </c>
      <c r="W463" s="23">
        <f t="shared" ref="W463:W526" si="57">(1+V462)^(1/12)-1</f>
        <v>3.3919308837089268E-3</v>
      </c>
      <c r="X463" s="24">
        <v>3.5856395177191303E-2</v>
      </c>
      <c r="Y463" s="24">
        <f t="shared" ref="Y463:Y526" si="58">(1+X464)^P464/(1+X463)^P463-1</f>
        <v>4.1415064071667285E-2</v>
      </c>
      <c r="Z463" s="23">
        <f t="shared" ref="Z463:Z526" si="59">(1+Y462)^(1/12)-1</f>
        <v>3.3861050119632363E-3</v>
      </c>
      <c r="AA463" s="36"/>
    </row>
    <row r="464" spans="4:27" ht="13.9" customHeight="1">
      <c r="D464" s="8"/>
      <c r="E464" s="9"/>
      <c r="F464" s="19"/>
      <c r="G464" s="19"/>
      <c r="H464" s="19"/>
      <c r="J464" s="45"/>
      <c r="K464" s="45"/>
      <c r="L464" s="45"/>
      <c r="M464" s="43"/>
      <c r="O464" s="12">
        <f t="shared" si="53"/>
        <v>37.583333333333336</v>
      </c>
      <c r="P464" s="13">
        <v>451</v>
      </c>
      <c r="Q464" s="22">
        <v>2.8618875711539093E-2</v>
      </c>
      <c r="R464" s="19">
        <f t="shared" si="54"/>
        <v>2.3196223585095765E-2</v>
      </c>
      <c r="S464" s="22">
        <v>3.3279495520864399E-2</v>
      </c>
      <c r="T464" s="19">
        <f t="shared" si="55"/>
        <v>4.1174054807682881E-2</v>
      </c>
      <c r="U464" s="24">
        <v>3.6521632855547992E-2</v>
      </c>
      <c r="V464" s="24">
        <f t="shared" si="56"/>
        <v>4.1501905351825519E-2</v>
      </c>
      <c r="W464" s="23">
        <f t="shared" si="57"/>
        <v>3.3931712352208709E-3</v>
      </c>
      <c r="X464" s="24">
        <v>3.5868687506051211E-2</v>
      </c>
      <c r="Y464" s="24">
        <f t="shared" si="58"/>
        <v>4.1431353478907695E-2</v>
      </c>
      <c r="Z464" s="23">
        <f t="shared" si="59"/>
        <v>3.3874266437672329E-3</v>
      </c>
      <c r="AA464" s="36"/>
    </row>
    <row r="465" spans="4:27" ht="13.9" customHeight="1">
      <c r="D465" s="8"/>
      <c r="E465" s="9"/>
      <c r="F465" s="19"/>
      <c r="G465" s="19"/>
      <c r="H465" s="19"/>
      <c r="J465" s="45"/>
      <c r="K465" s="45"/>
      <c r="L465" s="45"/>
      <c r="M465" s="43"/>
      <c r="O465" s="12">
        <f t="shared" si="53"/>
        <v>37.666666666666664</v>
      </c>
      <c r="P465" s="13">
        <v>452</v>
      </c>
      <c r="Q465" s="22">
        <v>2.8606847029494231E-2</v>
      </c>
      <c r="R465" s="19">
        <f t="shared" si="54"/>
        <v>2.31921504877588E-2</v>
      </c>
      <c r="S465" s="22">
        <v>3.3296895122331582E-2</v>
      </c>
      <c r="T465" s="19">
        <f t="shared" si="55"/>
        <v>4.1193866849321248E-2</v>
      </c>
      <c r="U465" s="24">
        <v>3.6532624829965554E-2</v>
      </c>
      <c r="V465" s="24">
        <f t="shared" si="56"/>
        <v>4.151704049424354E-2</v>
      </c>
      <c r="W465" s="23">
        <f t="shared" si="57"/>
        <v>3.3943988973179628E-3</v>
      </c>
      <c r="X465" s="24">
        <v>3.5880961435700742E-2</v>
      </c>
      <c r="Y465" s="24">
        <f t="shared" si="58"/>
        <v>4.1447473582449046E-2</v>
      </c>
      <c r="Z465" s="23">
        <f t="shared" si="59"/>
        <v>3.388734517208114E-3</v>
      </c>
      <c r="AA465" s="36"/>
    </row>
    <row r="466" spans="4:27" ht="13.9" customHeight="1">
      <c r="D466" s="8"/>
      <c r="E466" s="9"/>
      <c r="F466" s="19"/>
      <c r="G466" s="19"/>
      <c r="H466" s="19"/>
      <c r="J466" s="45"/>
      <c r="K466" s="45"/>
      <c r="L466" s="45"/>
      <c r="M466" s="43"/>
      <c r="O466" s="12">
        <f t="shared" si="53"/>
        <v>37.75</v>
      </c>
      <c r="P466" s="13">
        <v>453</v>
      </c>
      <c r="Q466" s="22">
        <v>2.8594862555103129E-2</v>
      </c>
      <c r="R466" s="19">
        <f t="shared" si="54"/>
        <v>2.3188383604358709E-2</v>
      </c>
      <c r="S466" s="22">
        <v>3.3314261600045691E-2</v>
      </c>
      <c r="T466" s="19">
        <f t="shared" si="55"/>
        <v>4.1213461294027365E-2</v>
      </c>
      <c r="U466" s="24">
        <v>3.6543601642098356E-2</v>
      </c>
      <c r="V466" s="24">
        <f t="shared" si="56"/>
        <v>4.153202106766507E-2</v>
      </c>
      <c r="W466" s="23">
        <f t="shared" si="57"/>
        <v>3.3956140027906478E-3</v>
      </c>
      <c r="X466" s="24">
        <v>3.5893216715993992E-2</v>
      </c>
      <c r="Y466" s="24">
        <f t="shared" si="58"/>
        <v>4.1463426180813112E-2</v>
      </c>
      <c r="Z466" s="23">
        <f t="shared" si="59"/>
        <v>3.3900287788262151E-3</v>
      </c>
      <c r="AA466" s="36"/>
    </row>
    <row r="467" spans="4:27" ht="13.9" customHeight="1">
      <c r="D467" s="8"/>
      <c r="E467" s="9"/>
      <c r="F467" s="19"/>
      <c r="G467" s="19"/>
      <c r="H467" s="19"/>
      <c r="J467" s="45"/>
      <c r="K467" s="45"/>
      <c r="L467" s="45"/>
      <c r="M467" s="43"/>
      <c r="O467" s="12">
        <f t="shared" si="53"/>
        <v>37.833333333333336</v>
      </c>
      <c r="P467" s="13">
        <v>454</v>
      </c>
      <c r="Q467" s="22">
        <v>2.8582922673635824E-2</v>
      </c>
      <c r="R467" s="19">
        <f t="shared" si="54"/>
        <v>2.3184922016451059E-2</v>
      </c>
      <c r="S467" s="22">
        <v>3.3331594696661915E-2</v>
      </c>
      <c r="T467" s="19">
        <f t="shared" si="55"/>
        <v>4.1232840588404596E-2</v>
      </c>
      <c r="U467" s="24">
        <v>3.6554563053109446E-2</v>
      </c>
      <c r="V467" s="24">
        <f t="shared" si="56"/>
        <v>4.1546848684268278E-2</v>
      </c>
      <c r="W467" s="23">
        <f t="shared" si="57"/>
        <v>3.3968166829507762E-3</v>
      </c>
      <c r="X467" s="24">
        <v>3.5905453102929918E-2</v>
      </c>
      <c r="Y467" s="24">
        <f t="shared" si="58"/>
        <v>4.1479213051963004E-2</v>
      </c>
      <c r="Z467" s="23">
        <f t="shared" si="59"/>
        <v>3.3913095735982335E-3</v>
      </c>
      <c r="AA467" s="36"/>
    </row>
    <row r="468" spans="4:27" ht="13.9" customHeight="1">
      <c r="D468" s="8"/>
      <c r="E468" s="9"/>
      <c r="F468" s="19"/>
      <c r="G468" s="19"/>
      <c r="H468" s="19"/>
      <c r="J468" s="45"/>
      <c r="K468" s="45"/>
      <c r="L468" s="45"/>
      <c r="M468" s="43"/>
      <c r="O468" s="12">
        <f t="shared" si="53"/>
        <v>37.916666666666664</v>
      </c>
      <c r="P468" s="13">
        <v>455</v>
      </c>
      <c r="Q468" s="22">
        <v>2.8571027764928036E-2</v>
      </c>
      <c r="R468" s="19">
        <f t="shared" si="54"/>
        <v>2.3181764827668649E-2</v>
      </c>
      <c r="S468" s="22">
        <v>3.334889416243203E-2</v>
      </c>
      <c r="T468" s="19">
        <f t="shared" si="55"/>
        <v>4.1252007150638148E-2</v>
      </c>
      <c r="U468" s="24">
        <v>3.6565508829788929E-2</v>
      </c>
      <c r="V468" s="24">
        <f t="shared" si="56"/>
        <v>4.1561524938386718E-2</v>
      </c>
      <c r="W468" s="23">
        <f t="shared" si="57"/>
        <v>3.3980070677173124E-3</v>
      </c>
      <c r="X468" s="24">
        <v>3.5917670358539988E-2</v>
      </c>
      <c r="Y468" s="24">
        <f t="shared" si="58"/>
        <v>4.1494835954967391E-2</v>
      </c>
      <c r="Z468" s="23">
        <f t="shared" si="59"/>
        <v>3.3925770448368642E-3</v>
      </c>
      <c r="AA468" s="36"/>
    </row>
    <row r="469" spans="4:27" ht="13.9" customHeight="1">
      <c r="D469" s="8"/>
      <c r="E469" s="9"/>
      <c r="F469" s="19"/>
      <c r="G469" s="19"/>
      <c r="H469" s="19"/>
      <c r="J469" s="45"/>
      <c r="K469" s="45"/>
      <c r="L469" s="45"/>
      <c r="M469" s="43"/>
      <c r="O469" s="12">
        <f t="shared" si="53"/>
        <v>38</v>
      </c>
      <c r="P469" s="13">
        <v>456</v>
      </c>
      <c r="Q469" s="22">
        <v>2.8559178203489299E-2</v>
      </c>
      <c r="R469" s="19">
        <f t="shared" si="54"/>
        <v>2.3178909639306022E-2</v>
      </c>
      <c r="S469" s="22">
        <v>3.3366159755059632E-2</v>
      </c>
      <c r="T469" s="19">
        <f t="shared" si="55"/>
        <v>4.1270963369910429E-2</v>
      </c>
      <c r="U469" s="24">
        <v>3.6576438744452711E-2</v>
      </c>
      <c r="V469" s="24">
        <f t="shared" si="56"/>
        <v>4.1576051407156589E-2</v>
      </c>
      <c r="W469" s="23">
        <f t="shared" si="57"/>
        <v>3.3991852855645988E-3</v>
      </c>
      <c r="X469" s="24">
        <v>3.5929868250780261E-2</v>
      </c>
      <c r="Y469" s="24">
        <f t="shared" si="58"/>
        <v>4.1510296629044374E-2</v>
      </c>
      <c r="Z469" s="23">
        <f t="shared" si="59"/>
        <v>3.3938313343235826E-3</v>
      </c>
      <c r="AA469" s="36"/>
    </row>
    <row r="470" spans="4:27" ht="13.9" customHeight="1">
      <c r="D470" s="8"/>
      <c r="E470" s="9"/>
      <c r="F470" s="19"/>
      <c r="G470" s="19"/>
      <c r="H470" s="19"/>
      <c r="J470" s="45"/>
      <c r="K470" s="45"/>
      <c r="L470" s="45"/>
      <c r="M470" s="43"/>
      <c r="O470" s="12">
        <f t="shared" si="53"/>
        <v>38.083333333333336</v>
      </c>
      <c r="P470" s="13">
        <v>457</v>
      </c>
      <c r="Q470" s="22">
        <v>2.8547374355255561E-2</v>
      </c>
      <c r="R470" s="19">
        <f t="shared" si="54"/>
        <v>2.3176349506796701E-2</v>
      </c>
      <c r="S470" s="22">
        <v>3.3383391239555582E-2</v>
      </c>
      <c r="T470" s="19">
        <f t="shared" si="55"/>
        <v>4.1289711607694679E-2</v>
      </c>
      <c r="U470" s="24">
        <v>3.6587352574845244E-2</v>
      </c>
      <c r="V470" s="24">
        <f t="shared" si="56"/>
        <v>4.1590429650407934E-2</v>
      </c>
      <c r="W470" s="23">
        <f t="shared" si="57"/>
        <v>3.4003514635743137E-3</v>
      </c>
      <c r="X470" s="24">
        <v>3.5942046553423701E-2</v>
      </c>
      <c r="Y470" s="24">
        <f t="shared" si="58"/>
        <v>4.1525596794048436E-2</v>
      </c>
      <c r="Z470" s="23">
        <f t="shared" si="59"/>
        <v>3.3950725822327055E-3</v>
      </c>
      <c r="AA470" s="36"/>
    </row>
    <row r="471" spans="4:27" ht="13.9" customHeight="1">
      <c r="D471" s="8"/>
      <c r="E471" s="9"/>
      <c r="F471" s="19"/>
      <c r="G471" s="19"/>
      <c r="H471" s="19"/>
      <c r="J471" s="45"/>
      <c r="K471" s="45"/>
      <c r="L471" s="45"/>
      <c r="M471" s="43"/>
      <c r="O471" s="12">
        <f t="shared" si="53"/>
        <v>38.166666666666664</v>
      </c>
      <c r="P471" s="13">
        <v>458</v>
      </c>
      <c r="Q471" s="22">
        <v>2.8535616567706201E-2</v>
      </c>
      <c r="R471" s="19">
        <f t="shared" si="54"/>
        <v>2.3174082088084136E-2</v>
      </c>
      <c r="S471" s="22">
        <v>3.3400588388097674E-2</v>
      </c>
      <c r="T471" s="19">
        <f t="shared" si="55"/>
        <v>4.1308254198239247E-2</v>
      </c>
      <c r="U471" s="24">
        <v>3.6598250104042052E-2</v>
      </c>
      <c r="V471" s="24">
        <f t="shared" si="56"/>
        <v>4.1604661211695815E-2</v>
      </c>
      <c r="W471" s="23">
        <f t="shared" si="57"/>
        <v>3.4015057274288107E-3</v>
      </c>
      <c r="X471" s="24">
        <v>3.5954205045954479E-2</v>
      </c>
      <c r="Y471" s="24">
        <f t="shared" si="58"/>
        <v>4.1540738151422785E-2</v>
      </c>
      <c r="Z471" s="23">
        <f t="shared" si="59"/>
        <v>3.3963009271706923E-3</v>
      </c>
      <c r="AA471" s="36"/>
    </row>
    <row r="472" spans="4:27" ht="13.9" customHeight="1">
      <c r="D472" s="8"/>
      <c r="E472" s="9"/>
      <c r="F472" s="19"/>
      <c r="G472" s="19"/>
      <c r="H472" s="19"/>
      <c r="J472" s="45"/>
      <c r="K472" s="45"/>
      <c r="L472" s="45"/>
      <c r="M472" s="43"/>
      <c r="O472" s="12">
        <f t="shared" si="53"/>
        <v>38.25</v>
      </c>
      <c r="P472" s="13">
        <v>459</v>
      </c>
      <c r="Q472" s="22">
        <v>2.8523905180144249E-2</v>
      </c>
      <c r="R472" s="19">
        <f t="shared" si="54"/>
        <v>2.3172106587635355E-2</v>
      </c>
      <c r="S472" s="22">
        <v>3.3417750979893857E-2</v>
      </c>
      <c r="T472" s="19">
        <f t="shared" si="55"/>
        <v>4.1326593447741589E-2</v>
      </c>
      <c r="U472" s="24">
        <v>3.6609131120356242E-2</v>
      </c>
      <c r="V472" s="24">
        <f t="shared" si="56"/>
        <v>4.1618747617463647E-2</v>
      </c>
      <c r="W472" s="23">
        <f t="shared" si="57"/>
        <v>3.4026482014917203E-3</v>
      </c>
      <c r="X472" s="24">
        <v>3.5966343513465171E-2</v>
      </c>
      <c r="Y472" s="24">
        <f t="shared" si="58"/>
        <v>4.1555722383056493E-2</v>
      </c>
      <c r="Z472" s="23">
        <f t="shared" si="59"/>
        <v>3.3975165062531953E-3</v>
      </c>
      <c r="AA472" s="36"/>
    </row>
    <row r="473" spans="4:27" ht="13.9" customHeight="1">
      <c r="D473" s="8"/>
      <c r="E473" s="9"/>
      <c r="F473" s="19"/>
      <c r="G473" s="19"/>
      <c r="H473" s="19"/>
      <c r="J473" s="45"/>
      <c r="K473" s="45"/>
      <c r="L473" s="45"/>
      <c r="M473" s="43"/>
      <c r="O473" s="12">
        <f t="shared" si="53"/>
        <v>38.333333333333336</v>
      </c>
      <c r="P473" s="13">
        <v>460</v>
      </c>
      <c r="Q473" s="22">
        <v>2.8512240527165389E-2</v>
      </c>
      <c r="R473" s="19">
        <f t="shared" si="54"/>
        <v>2.3170422229312981E-2</v>
      </c>
      <c r="S473" s="22">
        <v>3.3434878801045009E-2</v>
      </c>
      <c r="T473" s="19">
        <f t="shared" si="55"/>
        <v>4.1344731635999388E-2</v>
      </c>
      <c r="U473" s="24">
        <v>3.6619995417244589E-2</v>
      </c>
      <c r="V473" s="24">
        <f t="shared" si="56"/>
        <v>4.163269037741002E-2</v>
      </c>
      <c r="W473" s="23">
        <f t="shared" si="57"/>
        <v>3.4037790087424469E-3</v>
      </c>
      <c r="X473" s="24">
        <v>3.5978461746554169E-2</v>
      </c>
      <c r="Y473" s="24">
        <f t="shared" si="58"/>
        <v>4.1570551153287116E-2</v>
      </c>
      <c r="Z473" s="23">
        <f t="shared" si="59"/>
        <v>3.3987194550126887E-3</v>
      </c>
      <c r="AA473" s="36"/>
    </row>
    <row r="474" spans="4:27" ht="13.9" customHeight="1">
      <c r="D474" s="8"/>
      <c r="E474" s="9"/>
      <c r="F474" s="19"/>
      <c r="G474" s="19"/>
      <c r="H474" s="19"/>
      <c r="J474" s="45"/>
      <c r="K474" s="45"/>
      <c r="L474" s="45"/>
      <c r="M474" s="43"/>
      <c r="O474" s="12">
        <f t="shared" si="53"/>
        <v>38.416666666666664</v>
      </c>
      <c r="P474" s="13">
        <v>461</v>
      </c>
      <c r="Q474" s="22">
        <v>2.8500622938750553E-2</v>
      </c>
      <c r="R474" s="19">
        <f t="shared" si="54"/>
        <v>2.316902825942968E-2</v>
      </c>
      <c r="S474" s="22">
        <v>3.3451971644413714E-2</v>
      </c>
      <c r="T474" s="19">
        <f t="shared" si="55"/>
        <v>4.1362671015687802E-2</v>
      </c>
      <c r="U474" s="24">
        <v>3.6630842793215601E-2</v>
      </c>
      <c r="V474" s="24">
        <f t="shared" si="56"/>
        <v>4.1646490985550066E-2</v>
      </c>
      <c r="W474" s="23">
        <f t="shared" si="57"/>
        <v>3.4048982708063669E-3</v>
      </c>
      <c r="X474" s="24">
        <v>3.5990559541227762E-2</v>
      </c>
      <c r="Y474" s="24">
        <f t="shared" si="58"/>
        <v>4.1585226107496487E-2</v>
      </c>
      <c r="Z474" s="23">
        <f t="shared" si="59"/>
        <v>3.3999099075612271E-3</v>
      </c>
      <c r="AA474" s="36"/>
    </row>
    <row r="475" spans="4:27" ht="13.9" customHeight="1">
      <c r="D475" s="8"/>
      <c r="E475" s="9"/>
      <c r="F475" s="19"/>
      <c r="G475" s="19"/>
      <c r="H475" s="19"/>
      <c r="J475" s="45"/>
      <c r="K475" s="45"/>
      <c r="L475" s="45"/>
      <c r="M475" s="43"/>
      <c r="O475" s="12">
        <f t="shared" si="53"/>
        <v>38.5</v>
      </c>
      <c r="P475" s="13">
        <v>462</v>
      </c>
      <c r="Q475" s="22">
        <v>2.8489052740365173E-2</v>
      </c>
      <c r="R475" s="19">
        <f t="shared" si="54"/>
        <v>2.316792244545085E-2</v>
      </c>
      <c r="S475" s="22">
        <v>3.346902930949236E-2</v>
      </c>
      <c r="T475" s="19">
        <f t="shared" si="55"/>
        <v>4.1380413813794314E-2</v>
      </c>
      <c r="U475" s="24">
        <v>3.6641673051740709E-2</v>
      </c>
      <c r="V475" s="24">
        <f t="shared" si="56"/>
        <v>4.1660150919482719E-2</v>
      </c>
      <c r="W475" s="23">
        <f t="shared" si="57"/>
        <v>3.4060061080383175E-3</v>
      </c>
      <c r="X475" s="24">
        <v>3.6002636698800217E-2</v>
      </c>
      <c r="Y475" s="24">
        <f t="shared" si="58"/>
        <v>4.1599748873075493E-2</v>
      </c>
      <c r="Z475" s="23">
        <f t="shared" si="59"/>
        <v>3.4010879964763152E-3</v>
      </c>
      <c r="AA475" s="36"/>
    </row>
    <row r="476" spans="4:27" ht="13.9" customHeight="1">
      <c r="D476" s="8"/>
      <c r="E476" s="9"/>
      <c r="F476" s="19"/>
      <c r="G476" s="19"/>
      <c r="H476" s="19"/>
      <c r="J476" s="45"/>
      <c r="K476" s="45"/>
      <c r="L476" s="45"/>
      <c r="M476" s="43"/>
      <c r="O476" s="12">
        <f t="shared" si="53"/>
        <v>38.583333333333336</v>
      </c>
      <c r="P476" s="13">
        <v>463</v>
      </c>
      <c r="Q476" s="22">
        <v>2.8477530249796157E-2</v>
      </c>
      <c r="R476" s="19">
        <f t="shared" si="54"/>
        <v>2.3167098083511917E-2</v>
      </c>
      <c r="S476" s="22">
        <v>3.3486051602276135E-2</v>
      </c>
      <c r="T476" s="19">
        <f t="shared" si="55"/>
        <v>4.139796223096881E-2</v>
      </c>
      <c r="U476" s="24">
        <v>3.6652486001165663E-2</v>
      </c>
      <c r="V476" s="24">
        <f t="shared" si="56"/>
        <v>4.1673671640694909E-2</v>
      </c>
      <c r="W476" s="23">
        <f t="shared" si="57"/>
        <v>3.4071026394661974E-3</v>
      </c>
      <c r="X476" s="24">
        <v>3.6014693025798517E-2</v>
      </c>
      <c r="Y476" s="24">
        <f t="shared" si="58"/>
        <v>4.1614121059535547E-2</v>
      </c>
      <c r="Z476" s="23">
        <f t="shared" si="59"/>
        <v>3.4022538528790669E-3</v>
      </c>
      <c r="AA476" s="36"/>
    </row>
    <row r="477" spans="4:27" ht="13.9" customHeight="1">
      <c r="D477" s="8"/>
      <c r="E477" s="9"/>
      <c r="F477" s="19"/>
      <c r="G477" s="19"/>
      <c r="H477" s="19"/>
      <c r="J477" s="45"/>
      <c r="K477" s="45"/>
      <c r="L477" s="45"/>
      <c r="M477" s="43"/>
      <c r="O477" s="12">
        <f t="shared" si="53"/>
        <v>38.666666666666664</v>
      </c>
      <c r="P477" s="13">
        <v>464</v>
      </c>
      <c r="Q477" s="22">
        <v>2.8466055767548903E-2</v>
      </c>
      <c r="R477" s="19">
        <f t="shared" si="54"/>
        <v>2.3166552997066381E-2</v>
      </c>
      <c r="S477" s="22">
        <v>3.3503038335137347E-2</v>
      </c>
      <c r="T477" s="19">
        <f t="shared" si="55"/>
        <v>4.1415318441936799E-2</v>
      </c>
      <c r="U477" s="24">
        <v>3.6663281454622831E-2</v>
      </c>
      <c r="V477" s="24">
        <f t="shared" si="56"/>
        <v>4.168705459518196E-2</v>
      </c>
      <c r="W477" s="23">
        <f t="shared" si="57"/>
        <v>3.4081879828140593E-3</v>
      </c>
      <c r="X477" s="24">
        <v>3.6026728333867331E-2</v>
      </c>
      <c r="Y477" s="24">
        <f t="shared" si="58"/>
        <v>4.162834425924955E-2</v>
      </c>
      <c r="Z477" s="23">
        <f t="shared" si="59"/>
        <v>3.4034076064444196E-3</v>
      </c>
      <c r="AA477" s="36"/>
    </row>
    <row r="478" spans="4:27" ht="13.9" customHeight="1">
      <c r="D478" s="8"/>
      <c r="E478" s="9"/>
      <c r="F478" s="19"/>
      <c r="G478" s="19"/>
      <c r="H478" s="19"/>
      <c r="J478" s="45"/>
      <c r="K478" s="45"/>
      <c r="L478" s="45"/>
      <c r="M478" s="43"/>
      <c r="O478" s="12">
        <f t="shared" si="53"/>
        <v>38.75</v>
      </c>
      <c r="P478" s="13">
        <v>465</v>
      </c>
      <c r="Q478" s="22">
        <v>2.8454629586819769E-2</v>
      </c>
      <c r="R478" s="19">
        <f t="shared" si="54"/>
        <v>2.3166286528373714E-2</v>
      </c>
      <c r="S478" s="22">
        <v>3.3519989326700861E-2</v>
      </c>
      <c r="T478" s="19">
        <f t="shared" si="55"/>
        <v>4.1432484596900077E-2</v>
      </c>
      <c r="U478" s="24">
        <v>3.6674059229947042E-2</v>
      </c>
      <c r="V478" s="24">
        <f t="shared" si="56"/>
        <v>4.1700301213492885E-2</v>
      </c>
      <c r="W478" s="23">
        <f t="shared" si="57"/>
        <v>3.4092622545529583E-3</v>
      </c>
      <c r="X478" s="24">
        <v>3.6038742439677085E-2</v>
      </c>
      <c r="Y478" s="24">
        <f t="shared" si="58"/>
        <v>4.1642420046240858E-2</v>
      </c>
      <c r="Z478" s="23">
        <f t="shared" si="59"/>
        <v>3.4045493854593101E-3</v>
      </c>
      <c r="AA478" s="36"/>
    </row>
    <row r="479" spans="4:27" ht="13.9" customHeight="1">
      <c r="D479" s="8"/>
      <c r="E479" s="9"/>
      <c r="F479" s="19"/>
      <c r="G479" s="19"/>
      <c r="H479" s="19"/>
      <c r="J479" s="45"/>
      <c r="K479" s="45"/>
      <c r="L479" s="45"/>
      <c r="M479" s="43"/>
      <c r="O479" s="12">
        <f t="shared" si="53"/>
        <v>38.833333333333336</v>
      </c>
      <c r="P479" s="13">
        <v>466</v>
      </c>
      <c r="Q479" s="22">
        <v>2.8443251996850494E-2</v>
      </c>
      <c r="R479" s="19">
        <f t="shared" si="54"/>
        <v>2.316629804142778E-2</v>
      </c>
      <c r="S479" s="22">
        <v>3.3536904401724854E-2</v>
      </c>
      <c r="T479" s="19">
        <f t="shared" si="55"/>
        <v>4.1449462820209337E-2</v>
      </c>
      <c r="U479" s="24">
        <v>3.6684819149591874E-2</v>
      </c>
      <c r="V479" s="24">
        <f t="shared" si="56"/>
        <v>4.1713412910483028E-2</v>
      </c>
      <c r="W479" s="23">
        <f t="shared" si="57"/>
        <v>3.4103255699042823E-3</v>
      </c>
      <c r="X479" s="24">
        <v>3.6050735164831149E-2</v>
      </c>
      <c r="Y479" s="24">
        <f t="shared" si="58"/>
        <v>4.1656349977986507E-2</v>
      </c>
      <c r="Z479" s="23">
        <f t="shared" si="59"/>
        <v>3.4056793167271948E-3</v>
      </c>
      <c r="AA479" s="36"/>
    </row>
    <row r="480" spans="4:27" ht="13.9" customHeight="1">
      <c r="D480" s="8"/>
      <c r="E480" s="9"/>
      <c r="F480" s="19"/>
      <c r="G480" s="19"/>
      <c r="H480" s="19"/>
      <c r="J480" s="45"/>
      <c r="K480" s="45"/>
      <c r="L480" s="45"/>
      <c r="M480" s="43"/>
      <c r="O480" s="12">
        <f t="shared" si="53"/>
        <v>38.916666666666664</v>
      </c>
      <c r="P480" s="13">
        <v>467</v>
      </c>
      <c r="Q480" s="22">
        <v>2.8431923283017246E-2</v>
      </c>
      <c r="R480" s="19">
        <f t="shared" si="54"/>
        <v>2.3166586919618037E-2</v>
      </c>
      <c r="S480" s="22">
        <v>3.355378339098003E-2</v>
      </c>
      <c r="T480" s="19">
        <f t="shared" si="55"/>
        <v>4.1466255212301739E-2</v>
      </c>
      <c r="U480" s="24">
        <v>3.6695561040546387E-2</v>
      </c>
      <c r="V480" s="24">
        <f t="shared" si="56"/>
        <v>4.1726391085697312E-2</v>
      </c>
      <c r="W480" s="23">
        <f t="shared" si="57"/>
        <v>3.4113780428206564E-3</v>
      </c>
      <c r="X480" s="24">
        <v>3.6062706335777683E-2</v>
      </c>
      <c r="Y480" s="24">
        <f t="shared" si="58"/>
        <v>4.1670135594522817E-2</v>
      </c>
      <c r="Z480" s="23">
        <f t="shared" si="59"/>
        <v>3.4067975257119354E-3</v>
      </c>
      <c r="AA480" s="36"/>
    </row>
    <row r="481" spans="4:27" ht="13.9" customHeight="1">
      <c r="D481" s="8"/>
      <c r="E481" s="9"/>
      <c r="F481" s="19"/>
      <c r="G481" s="19"/>
      <c r="H481" s="19"/>
      <c r="J481" s="45"/>
      <c r="K481" s="45"/>
      <c r="L481" s="45"/>
      <c r="M481" s="43"/>
      <c r="O481" s="12">
        <f t="shared" si="53"/>
        <v>39</v>
      </c>
      <c r="P481" s="13">
        <v>468</v>
      </c>
      <c r="Q481" s="22">
        <v>2.8420643726913442E-2</v>
      </c>
      <c r="R481" s="19">
        <f t="shared" si="54"/>
        <v>2.3167151092799765E-2</v>
      </c>
      <c r="S481" s="22">
        <v>3.3570626131135262E-2</v>
      </c>
      <c r="T481" s="19">
        <f t="shared" si="55"/>
        <v>4.1482863848300688E-2</v>
      </c>
      <c r="U481" s="24">
        <v>3.6706284734254746E-2</v>
      </c>
      <c r="V481" s="24">
        <f t="shared" si="56"/>
        <v>4.1739237124161388E-2</v>
      </c>
      <c r="W481" s="23">
        <f t="shared" si="57"/>
        <v>3.412419786016363E-3</v>
      </c>
      <c r="X481" s="24">
        <v>3.6074655783720377E-2</v>
      </c>
      <c r="Y481" s="24">
        <f t="shared" si="58"/>
        <v>4.1683778419299156E-2</v>
      </c>
      <c r="Z481" s="23">
        <f t="shared" si="59"/>
        <v>3.4079041364667439E-3</v>
      </c>
      <c r="AA481" s="36"/>
    </row>
    <row r="482" spans="4:27" ht="13.9" customHeight="1">
      <c r="D482" s="8"/>
      <c r="E482" s="9"/>
      <c r="F482" s="19"/>
      <c r="G482" s="19"/>
      <c r="H482" s="19"/>
      <c r="J482" s="45"/>
      <c r="K482" s="45"/>
      <c r="L482" s="45"/>
      <c r="M482" s="43"/>
      <c r="O482" s="12">
        <f t="shared" si="53"/>
        <v>39.083333333333336</v>
      </c>
      <c r="P482" s="13">
        <v>469</v>
      </c>
      <c r="Q482" s="22">
        <v>2.8409413603274425E-2</v>
      </c>
      <c r="R482" s="19">
        <f t="shared" si="54"/>
        <v>2.3167984091619243E-2</v>
      </c>
      <c r="S482" s="22">
        <v>3.3587432464640132E-2</v>
      </c>
      <c r="T482" s="19">
        <f t="shared" si="55"/>
        <v>4.1499290780307341E-2</v>
      </c>
      <c r="U482" s="24">
        <v>3.6716990066536948E-2</v>
      </c>
      <c r="V482" s="24">
        <f t="shared" si="56"/>
        <v>4.175195239593843E-2</v>
      </c>
      <c r="W482" s="23">
        <f t="shared" si="57"/>
        <v>3.4134509110312905E-3</v>
      </c>
      <c r="X482" s="24">
        <v>3.6086583344532963E-2</v>
      </c>
      <c r="Y482" s="24">
        <f t="shared" si="58"/>
        <v>4.1697279958856415E-2</v>
      </c>
      <c r="Z482" s="23">
        <f t="shared" si="59"/>
        <v>3.4089992717030171E-3</v>
      </c>
      <c r="AA482" s="36"/>
    </row>
    <row r="483" spans="4:27" ht="13.9" customHeight="1">
      <c r="D483" s="8"/>
      <c r="E483" s="9"/>
      <c r="F483" s="19"/>
      <c r="G483" s="19"/>
      <c r="H483" s="19"/>
      <c r="J483" s="45"/>
      <c r="K483" s="45"/>
      <c r="L483" s="45"/>
      <c r="M483" s="43"/>
      <c r="O483" s="12">
        <f t="shared" si="53"/>
        <v>39.166666666666664</v>
      </c>
      <c r="P483" s="13">
        <v>470</v>
      </c>
      <c r="Q483" s="22">
        <v>2.8398233170642939E-2</v>
      </c>
      <c r="R483" s="19">
        <f t="shared" si="54"/>
        <v>2.3169083899315268E-2</v>
      </c>
      <c r="S483" s="22">
        <v>3.3604202239615688E-2</v>
      </c>
      <c r="T483" s="19">
        <f t="shared" si="55"/>
        <v>4.1515538035753252E-2</v>
      </c>
      <c r="U483" s="24">
        <v>3.6727676877511328E-2</v>
      </c>
      <c r="V483" s="24">
        <f t="shared" si="56"/>
        <v>4.1764538255586903E-2</v>
      </c>
      <c r="W483" s="23">
        <f t="shared" si="57"/>
        <v>3.4144715281960725E-3</v>
      </c>
      <c r="X483" s="24">
        <v>3.6098488858673505E-2</v>
      </c>
      <c r="Y483" s="24">
        <f t="shared" si="58"/>
        <v>4.1710641703432527E-2</v>
      </c>
      <c r="Z483" s="23">
        <f t="shared" si="59"/>
        <v>3.4100830527648007E-3</v>
      </c>
      <c r="AA483" s="36"/>
    </row>
    <row r="484" spans="4:27" ht="13.9" customHeight="1">
      <c r="D484" s="8"/>
      <c r="E484" s="9"/>
      <c r="F484" s="19"/>
      <c r="G484" s="19"/>
      <c r="H484" s="19"/>
      <c r="J484" s="45"/>
      <c r="K484" s="45"/>
      <c r="L484" s="45"/>
      <c r="M484" s="43"/>
      <c r="O484" s="12">
        <f t="shared" si="53"/>
        <v>39.25</v>
      </c>
      <c r="P484" s="13">
        <v>471</v>
      </c>
      <c r="Q484" s="22">
        <v>2.8387102681042942E-2</v>
      </c>
      <c r="R484" s="19">
        <f t="shared" si="54"/>
        <v>2.3170449993902498E-2</v>
      </c>
      <c r="S484" s="22">
        <v>3.362093530974164E-2</v>
      </c>
      <c r="T484" s="19">
        <f t="shared" si="55"/>
        <v>4.1531607619304634E-2</v>
      </c>
      <c r="U484" s="24">
        <v>3.6738345011515516E-2</v>
      </c>
      <c r="V484" s="24">
        <f t="shared" si="56"/>
        <v>4.1776996044182058E-2</v>
      </c>
      <c r="W484" s="23">
        <f t="shared" si="57"/>
        <v>3.4154817465872345E-3</v>
      </c>
      <c r="X484" s="24">
        <v>3.6110372171101357E-2</v>
      </c>
      <c r="Y484" s="24">
        <f t="shared" si="58"/>
        <v>4.1723865127182513E-2</v>
      </c>
      <c r="Z484" s="23">
        <f t="shared" si="59"/>
        <v>3.4111555996771958E-3</v>
      </c>
      <c r="AA484" s="36"/>
    </row>
    <row r="485" spans="4:27" ht="13.9" customHeight="1">
      <c r="D485" s="8"/>
      <c r="E485" s="9"/>
      <c r="F485" s="19"/>
      <c r="G485" s="19"/>
      <c r="H485" s="19"/>
      <c r="J485" s="45"/>
      <c r="K485" s="45"/>
      <c r="L485" s="45"/>
      <c r="M485" s="43"/>
      <c r="O485" s="12">
        <f t="shared" si="53"/>
        <v>39.333333333333336</v>
      </c>
      <c r="P485" s="13">
        <v>472</v>
      </c>
      <c r="Q485" s="22">
        <v>2.8376022383231891E-2</v>
      </c>
      <c r="R485" s="19">
        <f t="shared" si="54"/>
        <v>2.3172081873775063E-2</v>
      </c>
      <c r="S485" s="22">
        <v>3.3637631534149781E-2</v>
      </c>
      <c r="T485" s="19">
        <f t="shared" si="55"/>
        <v>4.1547501511678187E-2</v>
      </c>
      <c r="U485" s="24">
        <v>3.6748994317033823E-2</v>
      </c>
      <c r="V485" s="24">
        <f t="shared" si="56"/>
        <v>4.1789327088019634E-2</v>
      </c>
      <c r="W485" s="23">
        <f t="shared" si="57"/>
        <v>3.4164816741919513E-3</v>
      </c>
      <c r="X485" s="24">
        <v>3.6122233131195003E-2</v>
      </c>
      <c r="Y485" s="24">
        <f t="shared" si="58"/>
        <v>4.173695168752678E-2</v>
      </c>
      <c r="Z485" s="23">
        <f t="shared" si="59"/>
        <v>3.412217031164344E-3</v>
      </c>
      <c r="AA485" s="36"/>
    </row>
    <row r="486" spans="4:27" ht="13.9" customHeight="1">
      <c r="D486" s="8"/>
      <c r="E486" s="9"/>
      <c r="F486" s="19"/>
      <c r="G486" s="19"/>
      <c r="H486" s="19"/>
      <c r="J486" s="45"/>
      <c r="K486" s="45"/>
      <c r="L486" s="45"/>
      <c r="M486" s="43"/>
      <c r="O486" s="12">
        <f t="shared" si="53"/>
        <v>39.416666666666664</v>
      </c>
      <c r="P486" s="13">
        <v>473</v>
      </c>
      <c r="Q486" s="22">
        <v>2.8364992522778243E-2</v>
      </c>
      <c r="R486" s="19">
        <f t="shared" si="54"/>
        <v>2.3173979055872929E-2</v>
      </c>
      <c r="S486" s="22">
        <v>3.3654290777316298E-2</v>
      </c>
      <c r="T486" s="19">
        <f t="shared" si="55"/>
        <v>4.1563221671491624E-2</v>
      </c>
      <c r="U486" s="24">
        <v>3.6759624646621747E-2</v>
      </c>
      <c r="V486" s="24">
        <f t="shared" si="56"/>
        <v>4.1801532699279775E-2</v>
      </c>
      <c r="W486" s="23">
        <f t="shared" si="57"/>
        <v>3.4174714178019094E-3</v>
      </c>
      <c r="X486" s="24">
        <v>3.6134071592671013E-2</v>
      </c>
      <c r="Y486" s="24">
        <f t="shared" si="58"/>
        <v>4.1749902827064256E-2</v>
      </c>
      <c r="Z486" s="23">
        <f t="shared" si="59"/>
        <v>3.4132674645983574E-3</v>
      </c>
      <c r="AA486" s="36"/>
    </row>
    <row r="487" spans="4:27" ht="13.9" customHeight="1">
      <c r="D487" s="8"/>
      <c r="E487" s="9"/>
      <c r="F487" s="19"/>
      <c r="G487" s="19"/>
      <c r="H487" s="19"/>
      <c r="J487" s="45"/>
      <c r="K487" s="45"/>
      <c r="L487" s="45"/>
      <c r="M487" s="43"/>
      <c r="O487" s="12">
        <f t="shared" si="53"/>
        <v>39.5</v>
      </c>
      <c r="P487" s="13">
        <v>474</v>
      </c>
      <c r="Q487" s="22">
        <v>2.8354013342134499E-2</v>
      </c>
      <c r="R487" s="19">
        <f t="shared" si="54"/>
        <v>2.3176139627639536E-2</v>
      </c>
      <c r="S487" s="22">
        <v>3.3670912908958517E-2</v>
      </c>
      <c r="T487" s="19">
        <f t="shared" si="55"/>
        <v>4.157877003376087E-2</v>
      </c>
      <c r="U487" s="24">
        <v>3.6770235856833589E-2</v>
      </c>
      <c r="V487" s="24">
        <f t="shared" si="56"/>
        <v>4.1813614175524094E-2</v>
      </c>
      <c r="W487" s="23">
        <f t="shared" si="57"/>
        <v>3.4184510830681525E-3</v>
      </c>
      <c r="X487" s="24">
        <v>3.6145887413506328E-2</v>
      </c>
      <c r="Y487" s="24">
        <f t="shared" si="58"/>
        <v>4.1762719971373707E-2</v>
      </c>
      <c r="Z487" s="23">
        <f t="shared" si="59"/>
        <v>3.4143070161514188E-3</v>
      </c>
      <c r="AA487" s="36"/>
    </row>
    <row r="488" spans="4:27" ht="13.9" customHeight="1">
      <c r="D488" s="8"/>
      <c r="E488" s="9"/>
      <c r="F488" s="19"/>
      <c r="G488" s="19"/>
      <c r="H488" s="19"/>
      <c r="J488" s="45"/>
      <c r="K488" s="45"/>
      <c r="L488" s="45"/>
      <c r="M488" s="43"/>
      <c r="O488" s="12">
        <f t="shared" si="53"/>
        <v>39.583333333333336</v>
      </c>
      <c r="P488" s="13">
        <v>475</v>
      </c>
      <c r="Q488" s="22">
        <v>2.8343085077644936E-2</v>
      </c>
      <c r="R488" s="19">
        <f t="shared" si="54"/>
        <v>2.3178557348461304E-2</v>
      </c>
      <c r="S488" s="22">
        <v>3.368749780393121E-2</v>
      </c>
      <c r="T488" s="19">
        <f t="shared" si="55"/>
        <v>4.1594148512035911E-2</v>
      </c>
      <c r="U488" s="24">
        <v>3.6780827808149619E-2</v>
      </c>
      <c r="V488" s="24">
        <f t="shared" si="56"/>
        <v>4.1825572801443167E-2</v>
      </c>
      <c r="W488" s="23">
        <f t="shared" si="57"/>
        <v>3.4194207744604466E-3</v>
      </c>
      <c r="X488" s="24">
        <v>3.6157680455858099E-2</v>
      </c>
      <c r="Y488" s="24">
        <f t="shared" si="58"/>
        <v>4.1775404531654514E-2</v>
      </c>
      <c r="Z488" s="23">
        <f t="shared" si="59"/>
        <v>3.4153358006208112E-3</v>
      </c>
      <c r="AA488" s="36"/>
    </row>
    <row r="489" spans="4:27" ht="13.9" customHeight="1">
      <c r="D489" s="8"/>
      <c r="E489" s="9"/>
      <c r="F489" s="19"/>
      <c r="G489" s="19"/>
      <c r="H489" s="19"/>
      <c r="J489" s="45"/>
      <c r="K489" s="45"/>
      <c r="L489" s="45"/>
      <c r="M489" s="43"/>
      <c r="O489" s="12">
        <f t="shared" si="53"/>
        <v>39.666666666666664</v>
      </c>
      <c r="P489" s="13">
        <v>476</v>
      </c>
      <c r="Q489" s="22">
        <v>2.8332207950471311E-2</v>
      </c>
      <c r="R489" s="19">
        <f t="shared" si="54"/>
        <v>2.3181230357025795E-2</v>
      </c>
      <c r="S489" s="22">
        <v>3.3704045342127342E-2</v>
      </c>
      <c r="T489" s="19">
        <f t="shared" si="55"/>
        <v>4.1609358997762413E-2</v>
      </c>
      <c r="U489" s="24">
        <v>3.6791400364908133E-2</v>
      </c>
      <c r="V489" s="24">
        <f t="shared" si="56"/>
        <v>4.1837409847357732E-2</v>
      </c>
      <c r="W489" s="23">
        <f t="shared" si="57"/>
        <v>3.4203805954080568E-3</v>
      </c>
      <c r="X489" s="24">
        <v>3.6169450585989971E-2</v>
      </c>
      <c r="Y489" s="24">
        <f t="shared" si="58"/>
        <v>4.1787957902889028E-2</v>
      </c>
      <c r="Z489" s="23">
        <f t="shared" si="59"/>
        <v>3.4163539316405256E-3</v>
      </c>
      <c r="AA489" s="36"/>
    </row>
    <row r="490" spans="4:27" ht="13.9" customHeight="1">
      <c r="D490" s="8"/>
      <c r="E490" s="9"/>
      <c r="F490" s="19"/>
      <c r="G490" s="19"/>
      <c r="H490" s="19"/>
      <c r="J490" s="45"/>
      <c r="K490" s="45"/>
      <c r="L490" s="45"/>
      <c r="M490" s="43"/>
      <c r="O490" s="12">
        <f t="shared" si="53"/>
        <v>39.75</v>
      </c>
      <c r="P490" s="13">
        <v>477</v>
      </c>
      <c r="Q490" s="22">
        <v>2.8321382175980014E-2</v>
      </c>
      <c r="R490" s="19">
        <f t="shared" si="54"/>
        <v>2.3184158263515497E-2</v>
      </c>
      <c r="S490" s="22">
        <v>3.3720555408379038E-2</v>
      </c>
      <c r="T490" s="19">
        <f t="shared" si="55"/>
        <v>4.1624403359623807E-2</v>
      </c>
      <c r="U490" s="24">
        <v>3.6801953395234399E-2</v>
      </c>
      <c r="V490" s="24">
        <f t="shared" si="56"/>
        <v>4.1849126570169481E-2</v>
      </c>
      <c r="W490" s="23">
        <f t="shared" si="57"/>
        <v>3.4213306481787331E-3</v>
      </c>
      <c r="X490" s="24">
        <v>3.6181197674194365E-2</v>
      </c>
      <c r="Y490" s="24">
        <f t="shared" si="58"/>
        <v>4.1800381465663783E-2</v>
      </c>
      <c r="Z490" s="23">
        <f t="shared" si="59"/>
        <v>3.4173615215338238E-3</v>
      </c>
      <c r="AA490" s="36"/>
    </row>
    <row r="491" spans="4:27" ht="13.9" customHeight="1">
      <c r="D491" s="8"/>
      <c r="E491" s="9"/>
      <c r="F491" s="19"/>
      <c r="G491" s="19"/>
      <c r="H491" s="19"/>
      <c r="J491" s="45"/>
      <c r="K491" s="45"/>
      <c r="L491" s="45"/>
      <c r="M491" s="43"/>
      <c r="O491" s="12">
        <f t="shared" si="53"/>
        <v>39.833333333333336</v>
      </c>
      <c r="P491" s="13">
        <v>478</v>
      </c>
      <c r="Q491" s="22">
        <v>2.8310607966896217E-2</v>
      </c>
      <c r="R491" s="19">
        <f t="shared" si="54"/>
        <v>2.3187340695479453E-2</v>
      </c>
      <c r="S491" s="22">
        <v>3.3737027892359439E-2</v>
      </c>
      <c r="T491" s="19">
        <f t="shared" si="55"/>
        <v>4.1639283445978448E-2</v>
      </c>
      <c r="U491" s="24">
        <v>3.6812486770973818E-2</v>
      </c>
      <c r="V491" s="24">
        <f t="shared" si="56"/>
        <v>4.1860724213264255E-2</v>
      </c>
      <c r="W491" s="23">
        <f t="shared" si="57"/>
        <v>3.4222710339564255E-3</v>
      </c>
      <c r="X491" s="24">
        <v>3.6192921594721206E-2</v>
      </c>
      <c r="Y491" s="24">
        <f t="shared" si="58"/>
        <v>4.181267658505039E-2</v>
      </c>
      <c r="Z491" s="23">
        <f t="shared" si="59"/>
        <v>3.4183586814606759E-3</v>
      </c>
      <c r="AA491" s="36"/>
    </row>
    <row r="492" spans="4:27" ht="13.9" customHeight="1">
      <c r="D492" s="8"/>
      <c r="E492" s="9"/>
      <c r="F492" s="19"/>
      <c r="G492" s="19"/>
      <c r="H492" s="19"/>
      <c r="J492" s="45"/>
      <c r="K492" s="45"/>
      <c r="L492" s="45"/>
      <c r="M492" s="43"/>
      <c r="O492" s="12">
        <f t="shared" si="53"/>
        <v>39.916666666666664</v>
      </c>
      <c r="P492" s="13">
        <v>479</v>
      </c>
      <c r="Q492" s="22">
        <v>2.8299885533368041E-2</v>
      </c>
      <c r="R492" s="19">
        <f t="shared" si="54"/>
        <v>2.3190777300253984E-2</v>
      </c>
      <c r="S492" s="22">
        <v>3.3753462688489444E-2</v>
      </c>
      <c r="T492" s="19">
        <f t="shared" si="55"/>
        <v>4.1654001082954473E-2</v>
      </c>
      <c r="U492" s="24">
        <v>3.6823000367624426E-2</v>
      </c>
      <c r="V492" s="24">
        <f t="shared" si="56"/>
        <v>4.1872204006851987E-2</v>
      </c>
      <c r="W492" s="23">
        <f t="shared" si="57"/>
        <v>3.4232018528326247E-3</v>
      </c>
      <c r="X492" s="24">
        <v>3.6204622225703975E-2</v>
      </c>
      <c r="Y492" s="24">
        <f t="shared" si="58"/>
        <v>4.1824844611126233E-2</v>
      </c>
      <c r="Z492" s="23">
        <f t="shared" si="59"/>
        <v>3.419345521326278E-3</v>
      </c>
      <c r="AA492" s="36"/>
    </row>
    <row r="493" spans="4:27" ht="13.9" customHeight="1">
      <c r="D493" s="8"/>
      <c r="E493" s="9"/>
      <c r="F493" s="19"/>
      <c r="G493" s="19"/>
      <c r="H493" s="19"/>
      <c r="J493" s="45"/>
      <c r="K493" s="45"/>
      <c r="L493" s="45"/>
      <c r="M493" s="43"/>
      <c r="O493" s="12">
        <f t="shared" si="53"/>
        <v>40</v>
      </c>
      <c r="P493" s="13">
        <v>480</v>
      </c>
      <c r="Q493" s="22">
        <v>2.8289215083034502E-2</v>
      </c>
      <c r="R493" s="19">
        <f t="shared" si="54"/>
        <v>2.3194466318383622E-2</v>
      </c>
      <c r="S493" s="22">
        <v>3.3769859695842452E-2</v>
      </c>
      <c r="T493" s="19">
        <f t="shared" si="55"/>
        <v>4.1668558076385587E-2</v>
      </c>
      <c r="U493" s="24">
        <v>3.683349406427161E-2</v>
      </c>
      <c r="V493" s="24">
        <f t="shared" si="56"/>
        <v>4.1883567168259583E-2</v>
      </c>
      <c r="W493" s="23">
        <f t="shared" si="57"/>
        <v>3.4241232038345615E-3</v>
      </c>
      <c r="X493" s="24">
        <v>3.6216299449087996E-2</v>
      </c>
      <c r="Y493" s="24">
        <f t="shared" si="58"/>
        <v>4.1836886880268098E-2</v>
      </c>
      <c r="Z493" s="23">
        <f t="shared" si="59"/>
        <v>3.4203221498247949E-3</v>
      </c>
      <c r="AA493" s="36"/>
    </row>
    <row r="494" spans="4:27" ht="13.9" customHeight="1">
      <c r="D494" s="8"/>
      <c r="E494" s="9"/>
      <c r="F494" s="19"/>
      <c r="G494" s="19"/>
      <c r="H494" s="19"/>
      <c r="J494" s="45"/>
      <c r="K494" s="45"/>
      <c r="L494" s="45"/>
      <c r="M494" s="43"/>
      <c r="O494" s="12">
        <f t="shared" si="53"/>
        <v>40.083333333333336</v>
      </c>
      <c r="P494" s="13">
        <v>481</v>
      </c>
      <c r="Q494" s="22">
        <v>2.8278596818112067E-2</v>
      </c>
      <c r="R494" s="19">
        <f t="shared" si="54"/>
        <v>2.3198401731998608E-2</v>
      </c>
      <c r="S494" s="22">
        <v>3.3786218818054214E-2</v>
      </c>
      <c r="T494" s="19">
        <f t="shared" si="55"/>
        <v>4.1682956210613353E-2</v>
      </c>
      <c r="U494" s="24">
        <v>3.6843967743524164E-2</v>
      </c>
      <c r="V494" s="24">
        <f t="shared" si="56"/>
        <v>4.1894814901481725E-2</v>
      </c>
      <c r="W494" s="23">
        <f t="shared" si="57"/>
        <v>3.4250351849482996E-3</v>
      </c>
      <c r="X494" s="24">
        <v>3.6227953150562708E-2</v>
      </c>
      <c r="Y494" s="24">
        <f t="shared" si="58"/>
        <v>4.1848804712992571E-2</v>
      </c>
      <c r="Z494" s="23">
        <f t="shared" si="59"/>
        <v>3.4212886745426108E-3</v>
      </c>
      <c r="AA494" s="36"/>
    </row>
    <row r="495" spans="4:27" ht="13.9" customHeight="1">
      <c r="D495" s="8"/>
      <c r="E495" s="9"/>
      <c r="F495" s="19"/>
      <c r="G495" s="19"/>
      <c r="H495" s="19"/>
      <c r="J495" s="45"/>
      <c r="K495" s="45"/>
      <c r="L495" s="45"/>
      <c r="M495" s="43"/>
      <c r="O495" s="12">
        <f t="shared" si="53"/>
        <v>40.166666666666664</v>
      </c>
      <c r="P495" s="13">
        <v>482</v>
      </c>
      <c r="Q495" s="22">
        <v>2.8268030926572596E-2</v>
      </c>
      <c r="R495" s="19">
        <f t="shared" si="54"/>
        <v>2.3202581832403757E-2</v>
      </c>
      <c r="S495" s="22">
        <v>3.3802539963231126E-2</v>
      </c>
      <c r="T495" s="19">
        <f t="shared" si="55"/>
        <v>4.1697197250474716E-2</v>
      </c>
      <c r="U495" s="24">
        <v>3.6854421291450556E-2</v>
      </c>
      <c r="V495" s="24">
        <f t="shared" si="56"/>
        <v>4.190594839785855E-2</v>
      </c>
      <c r="W495" s="23">
        <f t="shared" si="57"/>
        <v>3.4259378930832085E-3</v>
      </c>
      <c r="X495" s="24">
        <v>3.6239583219490168E-2</v>
      </c>
      <c r="Y495" s="24">
        <f t="shared" si="58"/>
        <v>4.1860599416768229E-2</v>
      </c>
      <c r="Z495" s="23">
        <f t="shared" si="59"/>
        <v>3.4222452017849125E-3</v>
      </c>
      <c r="AA495" s="36"/>
    </row>
    <row r="496" spans="4:27" ht="13.9" customHeight="1">
      <c r="D496" s="8"/>
      <c r="E496" s="9"/>
      <c r="F496" s="19"/>
      <c r="G496" s="19"/>
      <c r="H496" s="19"/>
      <c r="J496" s="45"/>
      <c r="K496" s="45"/>
      <c r="L496" s="45"/>
      <c r="M496" s="43"/>
      <c r="O496" s="12">
        <f t="shared" si="53"/>
        <v>40.25</v>
      </c>
      <c r="P496" s="13">
        <v>483</v>
      </c>
      <c r="Q496" s="22">
        <v>2.8257517591256942E-2</v>
      </c>
      <c r="R496" s="19">
        <f t="shared" si="54"/>
        <v>2.3207006355311144E-2</v>
      </c>
      <c r="S496" s="22">
        <v>3.3818823043864077E-2</v>
      </c>
      <c r="T496" s="19">
        <f t="shared" si="55"/>
        <v>4.1711282939511207E-2</v>
      </c>
      <c r="U496" s="24">
        <v>3.6864854597516317E-2</v>
      </c>
      <c r="V496" s="24">
        <f t="shared" si="56"/>
        <v>4.1916968835990609E-2</v>
      </c>
      <c r="W496" s="23">
        <f t="shared" si="57"/>
        <v>3.4268314241263642E-3</v>
      </c>
      <c r="X496" s="24">
        <v>3.6251189548839768E-2</v>
      </c>
      <c r="Y496" s="24">
        <f t="shared" si="58"/>
        <v>4.1872272283976386E-2</v>
      </c>
      <c r="Z496" s="23">
        <f t="shared" si="59"/>
        <v>3.4231918368021752E-3</v>
      </c>
      <c r="AA496" s="36"/>
    </row>
    <row r="497" spans="4:27" ht="13.9" customHeight="1">
      <c r="D497" s="8"/>
      <c r="E497" s="9"/>
      <c r="F497" s="19"/>
      <c r="G497" s="19"/>
      <c r="H497" s="19"/>
      <c r="J497" s="45"/>
      <c r="K497" s="45"/>
      <c r="L497" s="45"/>
      <c r="M497" s="43"/>
      <c r="O497" s="12">
        <f t="shared" si="53"/>
        <v>40.333333333333336</v>
      </c>
      <c r="P497" s="13">
        <v>484</v>
      </c>
      <c r="Q497" s="22">
        <v>2.8247056992926955E-2</v>
      </c>
      <c r="R497" s="19">
        <f t="shared" si="54"/>
        <v>2.3211675055525349E-2</v>
      </c>
      <c r="S497" s="22">
        <v>3.3835067976739186E-2</v>
      </c>
      <c r="T497" s="19">
        <f t="shared" si="55"/>
        <v>4.1725215001848115E-2</v>
      </c>
      <c r="U497" s="24">
        <v>3.6875267554523194E-2</v>
      </c>
      <c r="V497" s="24">
        <f t="shared" si="56"/>
        <v>4.1927877382166301E-2</v>
      </c>
      <c r="W497" s="23">
        <f t="shared" si="57"/>
        <v>3.4277158729358881E-3</v>
      </c>
      <c r="X497" s="24">
        <v>3.6262772035120294E-2</v>
      </c>
      <c r="Y497" s="24">
        <f t="shared" si="58"/>
        <v>4.1883824593609509E-2</v>
      </c>
      <c r="Z497" s="23">
        <f t="shared" si="59"/>
        <v>3.424128683626293E-3</v>
      </c>
      <c r="AA497" s="36"/>
    </row>
    <row r="498" spans="4:27" ht="13.9" customHeight="1">
      <c r="D498" s="8"/>
      <c r="E498" s="9"/>
      <c r="F498" s="19"/>
      <c r="G498" s="19"/>
      <c r="H498" s="19"/>
      <c r="J498" s="45"/>
      <c r="K498" s="45"/>
      <c r="L498" s="45"/>
      <c r="M498" s="43"/>
      <c r="O498" s="12">
        <f t="shared" si="53"/>
        <v>40.416666666666664</v>
      </c>
      <c r="P498" s="13">
        <v>485</v>
      </c>
      <c r="Q498" s="22">
        <v>2.8236649310326767E-2</v>
      </c>
      <c r="R498" s="19">
        <f t="shared" si="54"/>
        <v>2.3216587707295844E-2</v>
      </c>
      <c r="S498" s="22">
        <v>3.3851274682854315E-2</v>
      </c>
      <c r="T498" s="19">
        <f t="shared" si="55"/>
        <v>4.1738995141820556E-2</v>
      </c>
      <c r="U498" s="24">
        <v>3.6885660058549208E-2</v>
      </c>
      <c r="V498" s="24">
        <f t="shared" si="56"/>
        <v>4.1938675190008601E-2</v>
      </c>
      <c r="W498" s="23">
        <f t="shared" si="57"/>
        <v>3.4285913333751417E-3</v>
      </c>
      <c r="X498" s="24">
        <v>3.6274330578315972E-2</v>
      </c>
      <c r="Y498" s="24">
        <f t="shared" si="58"/>
        <v>4.1895257610430336E-2</v>
      </c>
      <c r="Z498" s="23">
        <f t="shared" si="59"/>
        <v>3.4250558452073587E-3</v>
      </c>
      <c r="AA498" s="36"/>
    </row>
    <row r="499" spans="4:27" ht="13.9" customHeight="1">
      <c r="D499" s="8"/>
      <c r="E499" s="9"/>
      <c r="F499" s="19"/>
      <c r="G499" s="19"/>
      <c r="H499" s="19"/>
      <c r="J499" s="45"/>
      <c r="K499" s="45"/>
      <c r="L499" s="45"/>
      <c r="M499" s="43"/>
      <c r="O499" s="12">
        <f t="shared" si="53"/>
        <v>40.5</v>
      </c>
      <c r="P499" s="13">
        <v>486</v>
      </c>
      <c r="Q499" s="22">
        <v>2.8226294720242961E-2</v>
      </c>
      <c r="R499" s="19">
        <f t="shared" si="54"/>
        <v>2.3221742698346981E-2</v>
      </c>
      <c r="S499" s="22">
        <v>3.3867443087334692E-2</v>
      </c>
      <c r="T499" s="19">
        <f t="shared" si="55"/>
        <v>4.1752625043937952E-2</v>
      </c>
      <c r="U499" s="24">
        <v>3.6896032008889579E-2</v>
      </c>
      <c r="V499" s="24">
        <f t="shared" si="56"/>
        <v>4.1949363401213802E-2</v>
      </c>
      <c r="W499" s="23">
        <f t="shared" si="57"/>
        <v>3.4294578982854151E-3</v>
      </c>
      <c r="X499" s="24">
        <v>3.6285865081820967E-2</v>
      </c>
      <c r="Y499" s="24">
        <f t="shared" si="58"/>
        <v>4.1906572586096535E-2</v>
      </c>
      <c r="Z499" s="23">
        <f t="shared" si="59"/>
        <v>3.4259734233459405E-3</v>
      </c>
      <c r="AA499" s="36"/>
    </row>
    <row r="500" spans="4:27" ht="13.9" customHeight="1">
      <c r="D500" s="8"/>
      <c r="E500" s="9"/>
      <c r="F500" s="19"/>
      <c r="G500" s="19"/>
      <c r="H500" s="19"/>
      <c r="J500" s="45"/>
      <c r="K500" s="45"/>
      <c r="L500" s="45"/>
      <c r="M500" s="43"/>
      <c r="O500" s="12">
        <f t="shared" si="53"/>
        <v>40.583333333333336</v>
      </c>
      <c r="P500" s="13">
        <v>487</v>
      </c>
      <c r="Q500" s="22">
        <v>2.8215993394664185E-2</v>
      </c>
      <c r="R500" s="19">
        <f t="shared" si="54"/>
        <v>2.3227134229734991E-2</v>
      </c>
      <c r="S500" s="22">
        <v>3.3883573119350974E-2</v>
      </c>
      <c r="T500" s="19">
        <f t="shared" si="55"/>
        <v>4.1766106373881229E-2</v>
      </c>
      <c r="U500" s="24">
        <v>3.6906383307998336E-2</v>
      </c>
      <c r="V500" s="24">
        <f t="shared" si="56"/>
        <v>4.1959943144907363E-2</v>
      </c>
      <c r="W500" s="23">
        <f t="shared" si="57"/>
        <v>3.4303156595438811E-3</v>
      </c>
      <c r="X500" s="24">
        <v>3.6297375452378544E-2</v>
      </c>
      <c r="Y500" s="24">
        <f t="shared" si="58"/>
        <v>4.1917770757671224E-2</v>
      </c>
      <c r="Z500" s="23">
        <f t="shared" si="59"/>
        <v>3.4268815187834534E-3</v>
      </c>
      <c r="AA500" s="36"/>
    </row>
    <row r="501" spans="4:27" ht="13.9" customHeight="1">
      <c r="D501" s="8"/>
      <c r="E501" s="9"/>
      <c r="F501" s="19"/>
      <c r="G501" s="19"/>
      <c r="H501" s="19"/>
      <c r="J501" s="45"/>
      <c r="K501" s="45"/>
      <c r="L501" s="45"/>
      <c r="M501" s="43"/>
      <c r="O501" s="12">
        <f t="shared" si="53"/>
        <v>40.666666666666664</v>
      </c>
      <c r="P501" s="13">
        <v>488</v>
      </c>
      <c r="Q501" s="22">
        <v>2.8205745492208889E-2</v>
      </c>
      <c r="R501" s="19">
        <f t="shared" si="54"/>
        <v>2.3232760739085423E-2</v>
      </c>
      <c r="S501" s="22">
        <v>3.3899664712038646E-2</v>
      </c>
      <c r="T501" s="19">
        <f t="shared" si="55"/>
        <v>4.1779440777864663E-2</v>
      </c>
      <c r="U501" s="24">
        <v>3.6916713861431028E-2</v>
      </c>
      <c r="V501" s="24">
        <f t="shared" si="56"/>
        <v>4.1970415538441053E-2</v>
      </c>
      <c r="W501" s="23">
        <f t="shared" si="57"/>
        <v>3.4311647080134122E-3</v>
      </c>
      <c r="X501" s="24">
        <v>3.6308861600016229E-2</v>
      </c>
      <c r="Y501" s="24">
        <f t="shared" si="58"/>
        <v>4.1928853350145401E-2</v>
      </c>
      <c r="Z501" s="23">
        <f t="shared" si="59"/>
        <v>3.4277802310838101E-3</v>
      </c>
      <c r="AA501" s="36"/>
    </row>
    <row r="502" spans="4:27" ht="13.9" customHeight="1">
      <c r="D502" s="8"/>
      <c r="E502" s="9"/>
      <c r="F502" s="19"/>
      <c r="G502" s="19"/>
      <c r="H502" s="19"/>
      <c r="J502" s="45"/>
      <c r="K502" s="45"/>
      <c r="L502" s="45"/>
      <c r="M502" s="43"/>
      <c r="O502" s="12">
        <f t="shared" si="53"/>
        <v>40.75</v>
      </c>
      <c r="P502" s="13">
        <v>489</v>
      </c>
      <c r="Q502" s="22">
        <v>2.8195551166968924E-2</v>
      </c>
      <c r="R502" s="19">
        <f t="shared" si="54"/>
        <v>2.3238622086591443E-2</v>
      </c>
      <c r="S502" s="22">
        <v>3.3915717802418532E-2</v>
      </c>
      <c r="T502" s="19">
        <f t="shared" si="55"/>
        <v>4.1792629883372401E-2</v>
      </c>
      <c r="U502" s="24">
        <v>3.6927023577788987E-2</v>
      </c>
      <c r="V502" s="24">
        <f t="shared" si="56"/>
        <v>4.1980781687672053E-2</v>
      </c>
      <c r="W502" s="23">
        <f t="shared" si="57"/>
        <v>3.4320051336063084E-3</v>
      </c>
      <c r="X502" s="24">
        <v>3.6320323437988078E-2</v>
      </c>
      <c r="Y502" s="24">
        <f t="shared" si="58"/>
        <v>4.1939821574288105E-2</v>
      </c>
      <c r="Z502" s="23">
        <f t="shared" si="59"/>
        <v>3.4286696588343712E-3</v>
      </c>
      <c r="AA502" s="36"/>
    </row>
    <row r="503" spans="4:27" ht="13.9" customHeight="1">
      <c r="D503" s="8"/>
      <c r="E503" s="9"/>
      <c r="F503" s="19"/>
      <c r="G503" s="19"/>
      <c r="H503" s="19"/>
      <c r="J503" s="45"/>
      <c r="K503" s="45"/>
      <c r="L503" s="45"/>
      <c r="M503" s="43"/>
      <c r="O503" s="12">
        <f t="shared" si="53"/>
        <v>40.833333333333336</v>
      </c>
      <c r="P503" s="13">
        <v>490</v>
      </c>
      <c r="Q503" s="22">
        <v>2.8185410571472502E-2</v>
      </c>
      <c r="R503" s="19">
        <f t="shared" si="54"/>
        <v>2.3244718149522337E-2</v>
      </c>
      <c r="S503" s="22">
        <v>3.3931732331319298E-2</v>
      </c>
      <c r="T503" s="19">
        <f t="shared" si="55"/>
        <v>4.1805675299689593E-2</v>
      </c>
      <c r="U503" s="24">
        <v>3.6937312368664488E-2</v>
      </c>
      <c r="V503" s="24">
        <f t="shared" si="56"/>
        <v>4.199104268616316E-2</v>
      </c>
      <c r="W503" s="23">
        <f t="shared" si="57"/>
        <v>3.4328370253058349E-3</v>
      </c>
      <c r="X503" s="24">
        <v>3.6331760882712727E-2</v>
      </c>
      <c r="Y503" s="24">
        <f t="shared" si="58"/>
        <v>4.1950676628561112E-2</v>
      </c>
      <c r="Z503" s="23">
        <f t="shared" si="59"/>
        <v>3.4295498994754148E-3</v>
      </c>
      <c r="AA503" s="36"/>
    </row>
    <row r="504" spans="4:27" ht="13.9" customHeight="1">
      <c r="D504" s="8"/>
      <c r="E504" s="9"/>
      <c r="F504" s="19"/>
      <c r="G504" s="19"/>
      <c r="H504" s="19"/>
      <c r="J504" s="45"/>
      <c r="K504" s="45"/>
      <c r="L504" s="45"/>
      <c r="M504" s="43"/>
      <c r="O504" s="12">
        <f t="shared" si="53"/>
        <v>40.916666666666664</v>
      </c>
      <c r="P504" s="13">
        <v>491</v>
      </c>
      <c r="Q504" s="22">
        <v>2.8175323856735268E-2</v>
      </c>
      <c r="R504" s="19">
        <f t="shared" si="54"/>
        <v>2.3251048824009857E-2</v>
      </c>
      <c r="S504" s="22">
        <v>3.3947708243301511E-2</v>
      </c>
      <c r="T504" s="19">
        <f t="shared" si="55"/>
        <v>4.1818578616896529E-2</v>
      </c>
      <c r="U504" s="24">
        <v>3.6947580148585901E-2</v>
      </c>
      <c r="V504" s="24">
        <f t="shared" si="56"/>
        <v>4.200119961646398E-2</v>
      </c>
      <c r="W504" s="23">
        <f t="shared" si="57"/>
        <v>3.4336604711038277E-3</v>
      </c>
      <c r="X504" s="24">
        <v>3.6343173853716104E-2</v>
      </c>
      <c r="Y504" s="24">
        <f t="shared" si="58"/>
        <v>4.1961419697732705E-2</v>
      </c>
      <c r="Z504" s="23">
        <f t="shared" si="59"/>
        <v>3.4304210494517928E-3</v>
      </c>
      <c r="AA504" s="36"/>
    </row>
    <row r="505" spans="4:27" ht="13.9" customHeight="1">
      <c r="D505" s="8"/>
      <c r="E505" s="9"/>
      <c r="F505" s="19"/>
      <c r="G505" s="19"/>
      <c r="H505" s="19"/>
      <c r="J505" s="45"/>
      <c r="K505" s="45"/>
      <c r="L505" s="45"/>
      <c r="M505" s="43"/>
      <c r="O505" s="12">
        <f t="shared" si="53"/>
        <v>41</v>
      </c>
      <c r="P505" s="13">
        <v>492</v>
      </c>
      <c r="Q505" s="22">
        <v>2.8165291172314033E-2</v>
      </c>
      <c r="R505" s="19">
        <f t="shared" si="54"/>
        <v>2.325761264290227E-2</v>
      </c>
      <c r="S505" s="22">
        <v>3.3963645486581484E-2</v>
      </c>
      <c r="T505" s="19">
        <f t="shared" si="55"/>
        <v>4.1831341407816858E-2</v>
      </c>
      <c r="U505" s="24">
        <v>3.6957826834964846E-2</v>
      </c>
      <c r="V505" s="24">
        <f t="shared" si="56"/>
        <v>4.2011253549125493E-2</v>
      </c>
      <c r="W505" s="23">
        <f t="shared" si="57"/>
        <v>3.43447555810239E-3</v>
      </c>
      <c r="X505" s="24">
        <v>3.6354562273572366E-2</v>
      </c>
      <c r="Y505" s="24">
        <f t="shared" si="58"/>
        <v>4.1972051954410006E-2</v>
      </c>
      <c r="Z505" s="23">
        <f t="shared" si="59"/>
        <v>3.4312832041041297E-3</v>
      </c>
      <c r="AA505" s="36"/>
    </row>
    <row r="506" spans="4:27" ht="13.9" customHeight="1">
      <c r="D506" s="8"/>
      <c r="E506" s="9"/>
      <c r="F506" s="19"/>
      <c r="G506" s="19"/>
      <c r="H506" s="19"/>
      <c r="J506" s="45"/>
      <c r="K506" s="45"/>
      <c r="L506" s="45"/>
      <c r="M506" s="43"/>
      <c r="O506" s="12">
        <f t="shared" si="53"/>
        <v>41.083333333333336</v>
      </c>
      <c r="P506" s="13">
        <v>493</v>
      </c>
      <c r="Q506" s="22">
        <v>2.8155312663542764E-2</v>
      </c>
      <c r="R506" s="19">
        <f t="shared" si="54"/>
        <v>2.3264404019986307E-2</v>
      </c>
      <c r="S506" s="22">
        <v>3.3979544012959106E-2</v>
      </c>
      <c r="T506" s="19">
        <f t="shared" si="55"/>
        <v>4.1843965227057023E-2</v>
      </c>
      <c r="U506" s="24">
        <v>3.6968052348043567E-2</v>
      </c>
      <c r="V506" s="24">
        <f t="shared" si="56"/>
        <v>4.2021205543714801E-2</v>
      </c>
      <c r="W506" s="23">
        <f t="shared" si="57"/>
        <v>3.4352823724352888E-3</v>
      </c>
      <c r="X506" s="24">
        <v>3.6365926067848608E-2</v>
      </c>
      <c r="Y506" s="24">
        <f t="shared" si="58"/>
        <v>4.1982574558576236E-2</v>
      </c>
      <c r="Z506" s="23">
        <f t="shared" si="59"/>
        <v>3.4321364577902802E-3</v>
      </c>
      <c r="AA506" s="36"/>
    </row>
    <row r="507" spans="4:27" ht="13.9" customHeight="1">
      <c r="D507" s="8"/>
      <c r="E507" s="9"/>
      <c r="F507" s="19"/>
      <c r="G507" s="19"/>
      <c r="H507" s="19"/>
      <c r="J507" s="45"/>
      <c r="K507" s="45"/>
      <c r="L507" s="45"/>
      <c r="M507" s="43"/>
      <c r="O507" s="12">
        <f t="shared" si="53"/>
        <v>41.166666666666664</v>
      </c>
      <c r="P507" s="13">
        <v>494</v>
      </c>
      <c r="Q507" s="22">
        <v>2.8145388463197696E-2</v>
      </c>
      <c r="R507" s="19">
        <f t="shared" si="54"/>
        <v>2.3271421535986825E-2</v>
      </c>
      <c r="S507" s="22">
        <v>3.3995403777745237E-2</v>
      </c>
      <c r="T507" s="19">
        <f t="shared" si="55"/>
        <v>4.1856451610909895E-2</v>
      </c>
      <c r="U507" s="24">
        <v>3.6978256610843419E-2</v>
      </c>
      <c r="V507" s="24">
        <f t="shared" si="56"/>
        <v>4.2031056648544007E-2</v>
      </c>
      <c r="W507" s="23">
        <f t="shared" si="57"/>
        <v>3.4360809993498886E-3</v>
      </c>
      <c r="X507" s="24">
        <v>3.6377265165048467E-2</v>
      </c>
      <c r="Y507" s="24">
        <f t="shared" si="58"/>
        <v>4.1992988657084007E-2</v>
      </c>
      <c r="Z507" s="23">
        <f t="shared" si="59"/>
        <v>3.4329809038486925E-3</v>
      </c>
      <c r="AA507" s="36"/>
    </row>
    <row r="508" spans="4:27" ht="13.9" customHeight="1">
      <c r="D508" s="8"/>
      <c r="E508" s="9"/>
      <c r="F508" s="19"/>
      <c r="G508" s="19"/>
      <c r="H508" s="19"/>
      <c r="J508" s="45"/>
      <c r="K508" s="45"/>
      <c r="L508" s="45"/>
      <c r="M508" s="43"/>
      <c r="O508" s="12">
        <f t="shared" si="53"/>
        <v>41.25</v>
      </c>
      <c r="P508" s="13">
        <v>495</v>
      </c>
      <c r="Q508" s="22">
        <v>2.8135518700082462E-2</v>
      </c>
      <c r="R508" s="19">
        <f t="shared" si="54"/>
        <v>2.3278665170848978E-2</v>
      </c>
      <c r="S508" s="22">
        <v>3.4011224739689316E-2</v>
      </c>
      <c r="T508" s="19">
        <f t="shared" si="55"/>
        <v>4.1868802079356282E-2</v>
      </c>
      <c r="U508" s="24">
        <v>3.6988439549114682E-2</v>
      </c>
      <c r="V508" s="24">
        <f t="shared" si="56"/>
        <v>4.2040807900612709E-2</v>
      </c>
      <c r="W508" s="23">
        <f t="shared" si="57"/>
        <v>3.4368715231845037E-3</v>
      </c>
      <c r="X508" s="24">
        <v>3.638857949655705E-2</v>
      </c>
      <c r="Y508" s="24">
        <f t="shared" si="58"/>
        <v>4.2003295385289352E-2</v>
      </c>
      <c r="Z508" s="23">
        <f t="shared" si="59"/>
        <v>3.4338166345586618E-3</v>
      </c>
      <c r="AA508" s="36"/>
    </row>
    <row r="509" spans="4:27" ht="13.9" customHeight="1">
      <c r="D509" s="8"/>
      <c r="E509" s="9"/>
      <c r="F509" s="19"/>
      <c r="G509" s="19"/>
      <c r="H509" s="19"/>
      <c r="J509" s="45"/>
      <c r="K509" s="45"/>
      <c r="L509" s="45"/>
      <c r="M509" s="43"/>
      <c r="O509" s="12">
        <f t="shared" si="53"/>
        <v>41.333333333333336</v>
      </c>
      <c r="P509" s="13">
        <v>496</v>
      </c>
      <c r="Q509" s="22">
        <v>2.8125703501903132E-2</v>
      </c>
      <c r="R509" s="19">
        <f t="shared" si="54"/>
        <v>2.3286134921594037E-2</v>
      </c>
      <c r="S509" s="22">
        <v>3.4027006860912534E-2</v>
      </c>
      <c r="T509" s="19">
        <f t="shared" si="55"/>
        <v>4.1881018133714365E-2</v>
      </c>
      <c r="U509" s="24">
        <v>3.6998601091285943E-2</v>
      </c>
      <c r="V509" s="24">
        <f t="shared" si="56"/>
        <v>4.2050460326597205E-2</v>
      </c>
      <c r="W509" s="23">
        <f t="shared" si="57"/>
        <v>3.437654027365511E-3</v>
      </c>
      <c r="X509" s="24">
        <v>3.639986899658787E-2</v>
      </c>
      <c r="Y509" s="24">
        <f t="shared" si="58"/>
        <v>4.2013495865936612E-2</v>
      </c>
      <c r="Z509" s="23">
        <f t="shared" si="59"/>
        <v>3.4346437412704489E-3</v>
      </c>
      <c r="AA509" s="36"/>
    </row>
    <row r="510" spans="4:27" ht="13.9" customHeight="1">
      <c r="D510" s="8"/>
      <c r="E510" s="9"/>
      <c r="F510" s="19"/>
      <c r="G510" s="19"/>
      <c r="H510" s="19"/>
      <c r="J510" s="45"/>
      <c r="K510" s="45"/>
      <c r="L510" s="45"/>
      <c r="M510" s="43"/>
      <c r="O510" s="12">
        <f t="shared" si="53"/>
        <v>41.416666666666664</v>
      </c>
      <c r="P510" s="13">
        <v>497</v>
      </c>
      <c r="Q510" s="22">
        <v>2.8115942995313281E-2</v>
      </c>
      <c r="R510" s="19">
        <f t="shared" si="54"/>
        <v>2.3293830802884274E-2</v>
      </c>
      <c r="S510" s="22">
        <v>3.4042750106836328E-2</v>
      </c>
      <c r="T510" s="19">
        <f t="shared" si="55"/>
        <v>4.1893101259304899E-2</v>
      </c>
      <c r="U510" s="24">
        <v>3.7008741168416792E-2</v>
      </c>
      <c r="V510" s="24">
        <f t="shared" si="56"/>
        <v>4.2060014941732726E-2</v>
      </c>
      <c r="W510" s="23">
        <f t="shared" si="57"/>
        <v>3.4384285944850657E-3</v>
      </c>
      <c r="X510" s="24">
        <v>3.6411133602129775E-2</v>
      </c>
      <c r="Y510" s="24">
        <f t="shared" si="58"/>
        <v>4.2023591209471522E-2</v>
      </c>
      <c r="Z510" s="23">
        <f t="shared" si="59"/>
        <v>3.435462314316684E-3</v>
      </c>
      <c r="AA510" s="36"/>
    </row>
    <row r="511" spans="4:27" ht="13.9" customHeight="1">
      <c r="D511" s="8"/>
      <c r="E511" s="9"/>
      <c r="F511" s="19"/>
      <c r="G511" s="19"/>
      <c r="H511" s="19"/>
      <c r="J511" s="45"/>
      <c r="K511" s="45"/>
      <c r="L511" s="45"/>
      <c r="M511" s="43"/>
      <c r="O511" s="12">
        <f t="shared" si="53"/>
        <v>41.5</v>
      </c>
      <c r="P511" s="13">
        <v>498</v>
      </c>
      <c r="Q511" s="22">
        <v>2.810623730596018E-2</v>
      </c>
      <c r="R511" s="19">
        <f t="shared" si="54"/>
        <v>2.3301751488761013E-2</v>
      </c>
      <c r="S511" s="22">
        <v>3.4058454446117326E-2</v>
      </c>
      <c r="T511" s="19">
        <f t="shared" si="55"/>
        <v>4.1905052924191777E-2</v>
      </c>
      <c r="U511" s="24">
        <v>3.7018859714148311E-2</v>
      </c>
      <c r="V511" s="24">
        <f t="shared" si="56"/>
        <v>4.206947275044981E-2</v>
      </c>
      <c r="W511" s="23">
        <f t="shared" si="57"/>
        <v>3.4391953062129499E-3</v>
      </c>
      <c r="X511" s="24">
        <v>3.6422373252894324E-2</v>
      </c>
      <c r="Y511" s="24">
        <f t="shared" si="58"/>
        <v>4.2033582515000889E-2</v>
      </c>
      <c r="Z511" s="23">
        <f t="shared" si="59"/>
        <v>3.436272443037458E-3</v>
      </c>
      <c r="AA511" s="36"/>
    </row>
    <row r="512" spans="4:27" ht="13.9" customHeight="1">
      <c r="D512" s="8"/>
      <c r="E512" s="9"/>
      <c r="F512" s="19"/>
      <c r="G512" s="19"/>
      <c r="H512" s="19"/>
      <c r="J512" s="45"/>
      <c r="K512" s="45"/>
      <c r="L512" s="45"/>
      <c r="M512" s="43"/>
      <c r="O512" s="12">
        <f t="shared" si="53"/>
        <v>41.583333333333336</v>
      </c>
      <c r="P512" s="13">
        <v>499</v>
      </c>
      <c r="Q512" s="22">
        <v>2.8096586555795167E-2</v>
      </c>
      <c r="R512" s="19">
        <f t="shared" si="54"/>
        <v>2.3309891600388655E-2</v>
      </c>
      <c r="S512" s="22">
        <v>3.4074119850580953E-2</v>
      </c>
      <c r="T512" s="19">
        <f t="shared" si="55"/>
        <v>4.1916874579678964E-2</v>
      </c>
      <c r="U512" s="24">
        <v>3.7028956664655777E-2</v>
      </c>
      <c r="V512" s="24">
        <f t="shared" si="56"/>
        <v>4.207883474720564E-2</v>
      </c>
      <c r="W512" s="23">
        <f t="shared" si="57"/>
        <v>3.4399542433465324E-3</v>
      </c>
      <c r="X512" s="24">
        <v>3.643358789126605E-2</v>
      </c>
      <c r="Y512" s="24">
        <f t="shared" si="58"/>
        <v>4.2043470869208344E-2</v>
      </c>
      <c r="Z512" s="23">
        <f t="shared" si="59"/>
        <v>3.4370742158573719E-3</v>
      </c>
      <c r="AA512" s="36"/>
    </row>
    <row r="513" spans="4:27" ht="13.9" customHeight="1">
      <c r="D513" s="8"/>
      <c r="E513" s="9"/>
      <c r="F513" s="19"/>
      <c r="G513" s="19"/>
      <c r="H513" s="19"/>
      <c r="J513" s="45"/>
      <c r="K513" s="45"/>
      <c r="L513" s="45"/>
      <c r="M513" s="43"/>
      <c r="O513" s="12">
        <f t="shared" si="53"/>
        <v>41.666666666666664</v>
      </c>
      <c r="P513" s="13">
        <v>500</v>
      </c>
      <c r="Q513" s="22">
        <v>2.8086990854967686E-2</v>
      </c>
      <c r="R513" s="19">
        <f t="shared" si="54"/>
        <v>2.3318249858510276E-2</v>
      </c>
      <c r="S513" s="22">
        <v>3.4089746295156376E-2</v>
      </c>
      <c r="T513" s="19">
        <f t="shared" si="55"/>
        <v>4.1928567660482141E-2</v>
      </c>
      <c r="U513" s="24">
        <v>3.7039031958603585E-2</v>
      </c>
      <c r="V513" s="24">
        <f t="shared" si="56"/>
        <v>4.208810191562451E-2</v>
      </c>
      <c r="W513" s="23">
        <f t="shared" si="57"/>
        <v>3.4407054858789365E-3</v>
      </c>
      <c r="X513" s="24">
        <v>3.6444777462250721E-2</v>
      </c>
      <c r="Y513" s="24">
        <f t="shared" si="58"/>
        <v>4.2053257347586248E-2</v>
      </c>
      <c r="Z513" s="23">
        <f t="shared" si="59"/>
        <v>3.4378677201987173E-3</v>
      </c>
      <c r="AA513" s="36"/>
    </row>
    <row r="514" spans="4:27" ht="13.9" customHeight="1">
      <c r="D514" s="8"/>
      <c r="E514" s="9"/>
      <c r="F514" s="19"/>
      <c r="G514" s="19"/>
      <c r="H514" s="19"/>
      <c r="J514" s="45"/>
      <c r="K514" s="45"/>
      <c r="L514" s="45"/>
      <c r="M514" s="43"/>
      <c r="O514" s="12">
        <f t="shared" si="53"/>
        <v>41.75</v>
      </c>
      <c r="P514" s="13">
        <v>501</v>
      </c>
      <c r="Q514" s="22">
        <v>2.8077450310164176E-2</v>
      </c>
      <c r="R514" s="19">
        <f t="shared" si="54"/>
        <v>2.3326826358944786E-2</v>
      </c>
      <c r="S514" s="22">
        <v>3.4105333757812772E-2</v>
      </c>
      <c r="T514" s="19">
        <f t="shared" si="55"/>
        <v>4.1940133585592898E-2</v>
      </c>
      <c r="U514" s="24">
        <v>3.7049085537098625E-2</v>
      </c>
      <c r="V514" s="24">
        <f t="shared" si="56"/>
        <v>4.2097275229023179E-2</v>
      </c>
      <c r="W514" s="23">
        <f t="shared" si="57"/>
        <v>3.4414491129286517E-3</v>
      </c>
      <c r="X514" s="24">
        <v>3.6455941913427159E-2</v>
      </c>
      <c r="Y514" s="24">
        <f t="shared" si="58"/>
        <v>4.2062943014034904E-2</v>
      </c>
      <c r="Z514" s="23">
        <f t="shared" si="59"/>
        <v>3.4386530425805084E-3</v>
      </c>
      <c r="AA514" s="36"/>
    </row>
    <row r="515" spans="4:27" ht="13.9" customHeight="1">
      <c r="D515" s="8"/>
      <c r="E515" s="9"/>
      <c r="F515" s="19"/>
      <c r="G515" s="19"/>
      <c r="H515" s="19"/>
      <c r="J515" s="45"/>
      <c r="K515" s="45"/>
      <c r="L515" s="45"/>
      <c r="M515" s="43"/>
      <c r="O515" s="12">
        <f t="shared" si="53"/>
        <v>41.833333333333336</v>
      </c>
      <c r="P515" s="13">
        <v>502</v>
      </c>
      <c r="Q515" s="22">
        <v>2.8067965027394504E-2</v>
      </c>
      <c r="R515" s="19">
        <f t="shared" si="54"/>
        <v>2.3335621215393232E-2</v>
      </c>
      <c r="S515" s="22">
        <v>3.4120882219497828E-2</v>
      </c>
      <c r="T515" s="19">
        <f t="shared" si="55"/>
        <v>4.1951573757286198E-2</v>
      </c>
      <c r="U515" s="24">
        <v>3.705911734364542E-2</v>
      </c>
      <c r="V515" s="24">
        <f t="shared" si="56"/>
        <v>4.2106355650236571E-2</v>
      </c>
      <c r="W515" s="23">
        <f t="shared" si="57"/>
        <v>3.4421852027830546E-3</v>
      </c>
      <c r="X515" s="24">
        <v>3.646708119489861E-2</v>
      </c>
      <c r="Y515" s="24">
        <f t="shared" si="58"/>
        <v>4.2072528920740648E-2</v>
      </c>
      <c r="Z515" s="23">
        <f t="shared" si="59"/>
        <v>3.4394302685862854E-3</v>
      </c>
      <c r="AA515" s="36"/>
    </row>
    <row r="516" spans="4:27" ht="13.9" customHeight="1">
      <c r="D516" s="8"/>
      <c r="E516" s="9"/>
      <c r="F516" s="19"/>
      <c r="G516" s="19"/>
      <c r="H516" s="19"/>
      <c r="J516" s="45"/>
      <c r="K516" s="45"/>
      <c r="L516" s="45"/>
      <c r="M516" s="43"/>
      <c r="O516" s="12">
        <f t="shared" si="53"/>
        <v>41.916666666666664</v>
      </c>
      <c r="P516" s="13">
        <v>503</v>
      </c>
      <c r="Q516" s="22">
        <v>2.8058535112034599E-2</v>
      </c>
      <c r="R516" s="19">
        <f t="shared" si="54"/>
        <v>2.3344634558216892E-2</v>
      </c>
      <c r="S516" s="22">
        <v>3.4136391664075338E-2</v>
      </c>
      <c r="T516" s="19">
        <f t="shared" si="55"/>
        <v>4.1962889562023875E-2</v>
      </c>
      <c r="U516" s="24">
        <v>3.7069127324102169E-2</v>
      </c>
      <c r="V516" s="24">
        <f t="shared" si="56"/>
        <v>4.2115344132280574E-2</v>
      </c>
      <c r="W516" s="23">
        <f t="shared" si="57"/>
        <v>3.4429138328841979E-3</v>
      </c>
      <c r="X516" s="24">
        <v>3.6478195259244783E-2</v>
      </c>
      <c r="Y516" s="24">
        <f t="shared" si="58"/>
        <v>4.2082016109031173E-2</v>
      </c>
      <c r="Z516" s="23">
        <f t="shared" si="59"/>
        <v>3.4401994828543447E-3</v>
      </c>
      <c r="AA516" s="36"/>
    </row>
    <row r="517" spans="4:27" ht="13.9" customHeight="1">
      <c r="D517" s="8"/>
      <c r="E517" s="9"/>
      <c r="F517" s="19"/>
      <c r="G517" s="19"/>
      <c r="H517" s="19"/>
      <c r="J517" s="45"/>
      <c r="K517" s="45"/>
      <c r="L517" s="45"/>
      <c r="M517" s="43"/>
      <c r="O517" s="12">
        <f t="shared" si="53"/>
        <v>42</v>
      </c>
      <c r="P517" s="13">
        <v>504</v>
      </c>
      <c r="Q517" s="22">
        <v>2.8049160668865536E-2</v>
      </c>
      <c r="R517" s="19">
        <f t="shared" si="54"/>
        <v>2.3353865198846524E-2</v>
      </c>
      <c r="S517" s="22">
        <v>3.415186207826526E-2</v>
      </c>
      <c r="T517" s="19">
        <f t="shared" si="55"/>
        <v>4.1974082371058374E-2</v>
      </c>
      <c r="U517" s="24">
        <v>3.7079115426637443E-2</v>
      </c>
      <c r="V517" s="24">
        <f t="shared" si="56"/>
        <v>4.2124241618049618E-2</v>
      </c>
      <c r="W517" s="23">
        <f t="shared" si="57"/>
        <v>3.4436350798814352E-3</v>
      </c>
      <c r="X517" s="24">
        <v>3.6489284061475225E-2</v>
      </c>
      <c r="Y517" s="24">
        <f t="shared" si="58"/>
        <v>4.2091405608785326E-2</v>
      </c>
      <c r="Z517" s="23">
        <f t="shared" si="59"/>
        <v>3.4409607691470168E-3</v>
      </c>
      <c r="AA517" s="36"/>
    </row>
    <row r="518" spans="4:27" ht="13.9" customHeight="1">
      <c r="D518" s="8"/>
      <c r="E518" s="9"/>
      <c r="F518" s="19"/>
      <c r="G518" s="19"/>
      <c r="H518" s="19"/>
      <c r="J518" s="45"/>
      <c r="K518" s="45"/>
      <c r="L518" s="45"/>
      <c r="M518" s="43"/>
      <c r="O518" s="12">
        <f t="shared" si="53"/>
        <v>42.083333333333336</v>
      </c>
      <c r="P518" s="13">
        <v>505</v>
      </c>
      <c r="Q518" s="22">
        <v>2.8039841799455401E-2</v>
      </c>
      <c r="R518" s="19">
        <f t="shared" si="54"/>
        <v>2.3363307961153934E-2</v>
      </c>
      <c r="S518" s="22">
        <v>3.4167293451585312E-2</v>
      </c>
      <c r="T518" s="19">
        <f t="shared" si="55"/>
        <v>4.198515353965937E-2</v>
      </c>
      <c r="U518" s="24">
        <v>3.7089081601687557E-2</v>
      </c>
      <c r="V518" s="24">
        <f t="shared" si="56"/>
        <v>4.213304904060311E-2</v>
      </c>
      <c r="W518" s="23">
        <f t="shared" si="57"/>
        <v>3.4443490196078841E-3</v>
      </c>
      <c r="X518" s="24">
        <v>3.6500347558983348E-2</v>
      </c>
      <c r="Y518" s="24">
        <f t="shared" si="58"/>
        <v>4.2100698438945594E-2</v>
      </c>
      <c r="Z518" s="23">
        <f t="shared" si="59"/>
        <v>3.4417142103029263E-3</v>
      </c>
      <c r="AA518" s="36"/>
    </row>
    <row r="519" spans="4:27" ht="13.9" customHeight="1">
      <c r="D519" s="8"/>
      <c r="E519" s="9"/>
      <c r="F519" s="19"/>
      <c r="G519" s="19"/>
      <c r="H519" s="19"/>
      <c r="J519" s="45"/>
      <c r="K519" s="45"/>
      <c r="L519" s="45"/>
      <c r="M519" s="43"/>
      <c r="O519" s="12">
        <f t="shared" si="53"/>
        <v>42.166666666666664</v>
      </c>
      <c r="P519" s="13">
        <v>506</v>
      </c>
      <c r="Q519" s="22">
        <v>2.8030578594275157E-2</v>
      </c>
      <c r="R519" s="19">
        <f t="shared" si="54"/>
        <v>2.3372961701446204E-2</v>
      </c>
      <c r="S519" s="22">
        <v>3.4182685776292354E-2</v>
      </c>
      <c r="T519" s="19">
        <f t="shared" si="55"/>
        <v>4.1996104408059454E-2</v>
      </c>
      <c r="U519" s="24">
        <v>3.7099025801914598E-2</v>
      </c>
      <c r="V519" s="24">
        <f t="shared" si="56"/>
        <v>4.2141767322965373E-2</v>
      </c>
      <c r="W519" s="23">
        <f t="shared" si="57"/>
        <v>3.4450557271037408E-3</v>
      </c>
      <c r="X519" s="24">
        <v>3.6511385711500921E-2</v>
      </c>
      <c r="Y519" s="24">
        <f t="shared" si="58"/>
        <v>4.2109895607923553E-2</v>
      </c>
      <c r="Z519" s="23">
        <f t="shared" si="59"/>
        <v>3.4424598882782931E-3</v>
      </c>
      <c r="AA519" s="36"/>
    </row>
    <row r="520" spans="4:27" ht="13.9" customHeight="1">
      <c r="D520" s="8"/>
      <c r="E520" s="9"/>
      <c r="F520" s="19"/>
      <c r="G520" s="19"/>
      <c r="H520" s="19"/>
      <c r="J520" s="45"/>
      <c r="K520" s="45"/>
      <c r="L520" s="45"/>
      <c r="M520" s="43"/>
      <c r="O520" s="12">
        <f t="shared" si="53"/>
        <v>42.25</v>
      </c>
      <c r="P520" s="13">
        <v>507</v>
      </c>
      <c r="Q520" s="22">
        <v>2.8021371140797946E-2</v>
      </c>
      <c r="R520" s="19">
        <f t="shared" si="54"/>
        <v>2.3382826629910092E-2</v>
      </c>
      <c r="S520" s="22">
        <v>3.4198039047325768E-2</v>
      </c>
      <c r="T520" s="19">
        <f t="shared" si="55"/>
        <v>4.2006936300848841E-2</v>
      </c>
      <c r="U520" s="24">
        <v>3.7108947982165352E-2</v>
      </c>
      <c r="V520" s="24">
        <f t="shared" si="56"/>
        <v>4.2150397378788451E-2</v>
      </c>
      <c r="W520" s="23">
        <f t="shared" si="57"/>
        <v>3.4457552765994048E-3</v>
      </c>
      <c r="X520" s="24">
        <v>3.6522398481054763E-2</v>
      </c>
      <c r="Y520" s="24">
        <f t="shared" si="58"/>
        <v>4.2118998112468331E-2</v>
      </c>
      <c r="Z520" s="23">
        <f t="shared" si="59"/>
        <v>3.4431978841797939E-3</v>
      </c>
      <c r="AA520" s="36"/>
    </row>
    <row r="521" spans="4:27" ht="13.9" customHeight="1">
      <c r="D521" s="8"/>
      <c r="E521" s="9"/>
      <c r="F521" s="19"/>
      <c r="G521" s="19"/>
      <c r="H521" s="19"/>
      <c r="J521" s="45"/>
      <c r="K521" s="45"/>
      <c r="L521" s="45"/>
      <c r="M521" s="43"/>
      <c r="O521" s="12">
        <f t="shared" si="53"/>
        <v>42.333333333333336</v>
      </c>
      <c r="P521" s="13">
        <v>508</v>
      </c>
      <c r="Q521" s="22">
        <v>2.8012219526206028E-2</v>
      </c>
      <c r="R521" s="19">
        <f t="shared" si="54"/>
        <v>2.3392902973593976E-2</v>
      </c>
      <c r="S521" s="22">
        <v>3.4213353262250612E-2</v>
      </c>
      <c r="T521" s="19">
        <f t="shared" si="55"/>
        <v>4.2017650528335837E-2</v>
      </c>
      <c r="U521" s="24">
        <v>3.711884809943089E-2</v>
      </c>
      <c r="V521" s="24">
        <f t="shared" si="56"/>
        <v>4.2158940111994392E-2</v>
      </c>
      <c r="W521" s="23">
        <f t="shared" si="57"/>
        <v>3.4464477415696582E-3</v>
      </c>
      <c r="X521" s="24">
        <v>3.6533385831921006E-2</v>
      </c>
      <c r="Y521" s="24">
        <f t="shared" si="58"/>
        <v>4.2128006939545326E-2</v>
      </c>
      <c r="Z521" s="23">
        <f t="shared" si="59"/>
        <v>3.4439282781735248E-3</v>
      </c>
      <c r="AA521" s="36"/>
    </row>
    <row r="522" spans="4:27" ht="13.9" customHeight="1">
      <c r="D522" s="8"/>
      <c r="E522" s="9"/>
      <c r="F522" s="19"/>
      <c r="G522" s="19"/>
      <c r="H522" s="19"/>
      <c r="J522" s="45"/>
      <c r="K522" s="45"/>
      <c r="L522" s="45"/>
      <c r="M522" s="43"/>
      <c r="O522" s="12">
        <f t="shared" si="53"/>
        <v>42.416666666666664</v>
      </c>
      <c r="P522" s="13">
        <v>509</v>
      </c>
      <c r="Q522" s="22">
        <v>2.8003123837426758E-2</v>
      </c>
      <c r="R522" s="19">
        <f t="shared" si="54"/>
        <v>2.3403190974876642E-2</v>
      </c>
      <c r="S522" s="22">
        <v>3.4228628421203888E-2</v>
      </c>
      <c r="T522" s="19">
        <f t="shared" si="55"/>
        <v>4.2028248385253653E-2</v>
      </c>
      <c r="U522" s="24">
        <v>3.7128726112806598E-2</v>
      </c>
      <c r="V522" s="24">
        <f t="shared" si="56"/>
        <v>4.2167396416663339E-2</v>
      </c>
      <c r="W522" s="23">
        <f t="shared" si="57"/>
        <v>3.4471331947045769E-3</v>
      </c>
      <c r="X522" s="24">
        <v>3.6544347730584237E-2</v>
      </c>
      <c r="Y522" s="24">
        <f t="shared" si="58"/>
        <v>4.2136923065583032E-2</v>
      </c>
      <c r="Z522" s="23">
        <f t="shared" si="59"/>
        <v>3.4446511496362131E-3</v>
      </c>
      <c r="AA522" s="36"/>
    </row>
    <row r="523" spans="4:27" ht="13.9" customHeight="1">
      <c r="D523" s="8"/>
      <c r="E523" s="9"/>
      <c r="F523" s="19"/>
      <c r="G523" s="19"/>
      <c r="H523" s="19"/>
      <c r="J523" s="45"/>
      <c r="K523" s="45"/>
      <c r="L523" s="45"/>
      <c r="M523" s="43"/>
      <c r="O523" s="12">
        <f t="shared" si="53"/>
        <v>42.5</v>
      </c>
      <c r="P523" s="13">
        <v>510</v>
      </c>
      <c r="Q523" s="22">
        <v>2.7994084161165E-2</v>
      </c>
      <c r="R523" s="19">
        <f t="shared" si="54"/>
        <v>2.3413689579498964E-2</v>
      </c>
      <c r="S523" s="22">
        <v>3.4243864526839474E-2</v>
      </c>
      <c r="T523" s="19">
        <f t="shared" si="55"/>
        <v>4.2038731152770792E-2</v>
      </c>
      <c r="U523" s="24">
        <v>3.7138581983452656E-2</v>
      </c>
      <c r="V523" s="24">
        <f t="shared" si="56"/>
        <v>4.2175767178314505E-2</v>
      </c>
      <c r="W523" s="23">
        <f t="shared" si="57"/>
        <v>3.4478117079008719E-3</v>
      </c>
      <c r="X523" s="24">
        <v>3.6555284145694644E-2</v>
      </c>
      <c r="Y523" s="24">
        <f t="shared" si="58"/>
        <v>4.2145747455591298E-2</v>
      </c>
      <c r="Z523" s="23">
        <f t="shared" si="59"/>
        <v>3.4453665770948216E-3</v>
      </c>
      <c r="AA523" s="36"/>
    </row>
    <row r="524" spans="4:27" ht="13.9" customHeight="1">
      <c r="D524" s="8"/>
      <c r="E524" s="9"/>
      <c r="F524" s="19"/>
      <c r="G524" s="19"/>
      <c r="H524" s="19"/>
      <c r="J524" s="45"/>
      <c r="K524" s="45"/>
      <c r="L524" s="45"/>
      <c r="M524" s="43"/>
      <c r="O524" s="12">
        <f t="shared" si="53"/>
        <v>42.583333333333336</v>
      </c>
      <c r="P524" s="13">
        <v>511</v>
      </c>
      <c r="Q524" s="22">
        <v>2.7985100581356726E-2</v>
      </c>
      <c r="R524" s="19">
        <f t="shared" si="54"/>
        <v>2.3424393809593047E-2</v>
      </c>
      <c r="S524" s="22">
        <v>3.4259061584276607E-2</v>
      </c>
      <c r="T524" s="19">
        <f t="shared" si="55"/>
        <v>4.2049100096436254E-2</v>
      </c>
      <c r="U524" s="24">
        <v>3.7148415674556512E-2</v>
      </c>
      <c r="V524" s="24">
        <f t="shared" si="56"/>
        <v>4.2184053272221078E-2</v>
      </c>
      <c r="W524" s="23">
        <f t="shared" si="57"/>
        <v>3.448483352364029E-3</v>
      </c>
      <c r="X524" s="24">
        <v>3.6566195048025607E-2</v>
      </c>
      <c r="Y524" s="24">
        <f t="shared" si="58"/>
        <v>4.2154481065489247E-2</v>
      </c>
      <c r="Z524" s="23">
        <f t="shared" si="59"/>
        <v>3.4460746381554941E-3</v>
      </c>
      <c r="AA524" s="36"/>
    </row>
    <row r="525" spans="4:27" ht="13.9" customHeight="1">
      <c r="D525" s="8"/>
      <c r="E525" s="9"/>
      <c r="F525" s="19"/>
      <c r="G525" s="19"/>
      <c r="H525" s="19"/>
      <c r="J525" s="45"/>
      <c r="K525" s="45"/>
      <c r="L525" s="45"/>
      <c r="M525" s="43"/>
      <c r="O525" s="12">
        <f t="shared" si="53"/>
        <v>42.666666666666664</v>
      </c>
      <c r="P525" s="13">
        <v>512</v>
      </c>
      <c r="Q525" s="22">
        <v>2.7976173171498253E-2</v>
      </c>
      <c r="R525" s="19">
        <f t="shared" si="54"/>
        <v>2.3435302654983392E-2</v>
      </c>
      <c r="S525" s="22">
        <v>3.4274219601046152E-2</v>
      </c>
      <c r="T525" s="19">
        <f t="shared" si="55"/>
        <v>4.2059356468016285E-2</v>
      </c>
      <c r="U525" s="24">
        <v>3.7158227151294243E-2</v>
      </c>
      <c r="V525" s="24">
        <f t="shared" si="56"/>
        <v>4.2192255565535852E-2</v>
      </c>
      <c r="W525" s="23">
        <f t="shared" si="57"/>
        <v>3.4491481984746386E-3</v>
      </c>
      <c r="X525" s="24">
        <v>3.6577080410434393E-2</v>
      </c>
      <c r="Y525" s="24">
        <f t="shared" si="58"/>
        <v>4.2163124840473687E-2</v>
      </c>
      <c r="Z525" s="23">
        <f t="shared" si="59"/>
        <v>3.4467754096909609E-3</v>
      </c>
      <c r="AA525" s="36"/>
    </row>
    <row r="526" spans="4:27" ht="13.9" customHeight="1">
      <c r="D526" s="8"/>
      <c r="E526" s="9"/>
      <c r="F526" s="19"/>
      <c r="G526" s="19"/>
      <c r="H526" s="19"/>
      <c r="J526" s="45"/>
      <c r="K526" s="45"/>
      <c r="L526" s="45"/>
      <c r="M526" s="43"/>
      <c r="O526" s="12">
        <f t="shared" ref="O526:O589" si="60">P526/12</f>
        <v>42.75</v>
      </c>
      <c r="P526" s="13">
        <v>513</v>
      </c>
      <c r="Q526" s="22">
        <v>2.7967302002517513E-2</v>
      </c>
      <c r="R526" s="19">
        <f t="shared" ref="R526:R589" si="61">(1+Q527)^P527/(1+Q526)^P526-1</f>
        <v>2.3446416436274431E-2</v>
      </c>
      <c r="S526" s="22">
        <v>3.4289338587040197E-2</v>
      </c>
      <c r="T526" s="19">
        <f t="shared" ref="T526:T589" si="62">(1+S527)^P527/(1+S526)^P526-1</f>
        <v>4.2069501505923368E-2</v>
      </c>
      <c r="U526" s="24">
        <v>3.7168016380794144E-2</v>
      </c>
      <c r="V526" s="24">
        <f t="shared" ref="V526:V589" si="63">(1+U527)^P527/(1+U526)^P526-1</f>
        <v>4.2200374915317918E-2</v>
      </c>
      <c r="W526" s="23">
        <f t="shared" si="57"/>
        <v>3.4498063159575931E-3</v>
      </c>
      <c r="X526" s="24">
        <v>3.6587940207821523E-2</v>
      </c>
      <c r="Y526" s="24">
        <f t="shared" si="58"/>
        <v>4.2171679715521826E-2</v>
      </c>
      <c r="Z526" s="23">
        <f t="shared" si="59"/>
        <v>3.4474689677095327E-3</v>
      </c>
      <c r="AA526" s="36"/>
    </row>
    <row r="527" spans="4:27" ht="13.9" customHeight="1">
      <c r="D527" s="8"/>
      <c r="E527" s="9"/>
      <c r="F527" s="19"/>
      <c r="G527" s="19"/>
      <c r="H527" s="19"/>
      <c r="J527" s="45"/>
      <c r="K527" s="45"/>
      <c r="L527" s="45"/>
      <c r="M527" s="43"/>
      <c r="O527" s="12">
        <f t="shared" si="60"/>
        <v>42.833333333333336</v>
      </c>
      <c r="P527" s="13">
        <v>514</v>
      </c>
      <c r="Q527" s="22">
        <v>2.7958487145399502E-2</v>
      </c>
      <c r="R527" s="19">
        <f t="shared" si="61"/>
        <v>2.3457735490571174E-2</v>
      </c>
      <c r="S527" s="22">
        <v>3.4304418554462979E-2</v>
      </c>
      <c r="T527" s="19">
        <f t="shared" si="62"/>
        <v>4.2079536432783504E-2</v>
      </c>
      <c r="U527" s="24">
        <v>3.7177783332099201E-2</v>
      </c>
      <c r="V527" s="24">
        <f t="shared" si="63"/>
        <v>4.2208412170154253E-2</v>
      </c>
      <c r="W527" s="23">
        <f t="shared" ref="W527:W590" si="64">(1+V526)^(1/12)-1</f>
        <v>3.4504577737244357E-3</v>
      </c>
      <c r="X527" s="24">
        <v>3.6598774417091251E-2</v>
      </c>
      <c r="Y527" s="24">
        <f t="shared" ref="Y527:Y590" si="65">(1+X528)^P528/(1+X527)^P527-1</f>
        <v>4.2180146615636405E-2</v>
      </c>
      <c r="Z527" s="23">
        <f t="shared" ref="Z527:Z590" si="66">(1+Y526)^(1/12)-1</f>
        <v>3.4481553873955129E-3</v>
      </c>
      <c r="AA527" s="36"/>
    </row>
    <row r="528" spans="4:27" ht="13.9" customHeight="1">
      <c r="D528" s="8"/>
      <c r="E528" s="9"/>
      <c r="F528" s="19"/>
      <c r="G528" s="19"/>
      <c r="H528" s="19"/>
      <c r="J528" s="45"/>
      <c r="K528" s="45"/>
      <c r="L528" s="45"/>
      <c r="M528" s="43"/>
      <c r="O528" s="12">
        <f t="shared" si="60"/>
        <v>42.916666666666664</v>
      </c>
      <c r="P528" s="13">
        <v>515</v>
      </c>
      <c r="Q528" s="22">
        <v>2.7949728671217811E-2</v>
      </c>
      <c r="R528" s="19">
        <f t="shared" si="61"/>
        <v>2.3469260170634554E-2</v>
      </c>
      <c r="S528" s="22">
        <v>3.4319459517779149E-2</v>
      </c>
      <c r="T528" s="19">
        <f t="shared" si="62"/>
        <v>4.2089462459772964E-2</v>
      </c>
      <c r="U528" s="24">
        <v>3.7187527976131785E-2</v>
      </c>
      <c r="V528" s="24">
        <f t="shared" si="63"/>
        <v>4.2216368169875063E-2</v>
      </c>
      <c r="W528" s="23">
        <f t="shared" si="64"/>
        <v>3.4511026400039224E-3</v>
      </c>
      <c r="X528" s="24">
        <v>3.6609583017112479E-2</v>
      </c>
      <c r="Y528" s="24">
        <f t="shared" si="65"/>
        <v>4.2188526456718112E-2</v>
      </c>
      <c r="Z528" s="23">
        <f t="shared" si="66"/>
        <v>3.4488347431285149E-3</v>
      </c>
      <c r="AA528" s="36"/>
    </row>
    <row r="529" spans="4:27" ht="13.9" customHeight="1">
      <c r="D529" s="8"/>
      <c r="E529" s="9"/>
      <c r="F529" s="19"/>
      <c r="G529" s="19"/>
      <c r="H529" s="19"/>
      <c r="J529" s="45"/>
      <c r="K529" s="45"/>
      <c r="L529" s="45"/>
      <c r="M529" s="43"/>
      <c r="O529" s="12">
        <f t="shared" si="60"/>
        <v>43</v>
      </c>
      <c r="P529" s="13">
        <v>516</v>
      </c>
      <c r="Q529" s="22">
        <v>2.7941026651164158E-2</v>
      </c>
      <c r="R529" s="19">
        <f t="shared" si="61"/>
        <v>2.3480989553686049E-2</v>
      </c>
      <c r="S529" s="22">
        <v>3.4334461493668478E-2</v>
      </c>
      <c r="T529" s="19">
        <f t="shared" si="62"/>
        <v>4.2099280782404547E-2</v>
      </c>
      <c r="U529" s="24">
        <v>3.7197250285658345E-2</v>
      </c>
      <c r="V529" s="24">
        <f t="shared" si="63"/>
        <v>4.2224243745330847E-2</v>
      </c>
      <c r="W529" s="23">
        <f t="shared" si="64"/>
        <v>3.4517409823184853E-3</v>
      </c>
      <c r="X529" s="24">
        <v>3.6620365988682346E-2</v>
      </c>
      <c r="Y529" s="24">
        <f t="shared" si="65"/>
        <v>4.2196820143783453E-2</v>
      </c>
      <c r="Z529" s="23">
        <f t="shared" si="66"/>
        <v>3.4495071085547391E-3</v>
      </c>
      <c r="AA529" s="36"/>
    </row>
    <row r="530" spans="4:27" ht="13.9" customHeight="1">
      <c r="D530" s="8"/>
      <c r="E530" s="9"/>
      <c r="F530" s="19"/>
      <c r="G530" s="19"/>
      <c r="H530" s="19"/>
      <c r="J530" s="45"/>
      <c r="K530" s="45"/>
      <c r="L530" s="45"/>
      <c r="M530" s="43"/>
      <c r="O530" s="12">
        <f t="shared" si="60"/>
        <v>43.083333333333336</v>
      </c>
      <c r="P530" s="13">
        <v>517</v>
      </c>
      <c r="Q530" s="22">
        <v>2.7932381154068819E-2</v>
      </c>
      <c r="R530" s="19">
        <f t="shared" si="61"/>
        <v>2.3492918855599454E-2</v>
      </c>
      <c r="S530" s="22">
        <v>3.4349424500975445E-2</v>
      </c>
      <c r="T530" s="19">
        <f t="shared" si="62"/>
        <v>4.2108992584016125E-2</v>
      </c>
      <c r="U530" s="24">
        <v>3.7206950235254777E-2</v>
      </c>
      <c r="V530" s="24">
        <f t="shared" si="63"/>
        <v>4.2232039718783643E-2</v>
      </c>
      <c r="W530" s="23">
        <f t="shared" si="64"/>
        <v>3.4523728674666909E-3</v>
      </c>
      <c r="X530" s="24">
        <v>3.6631123314486924E-2</v>
      </c>
      <c r="Y530" s="24">
        <f t="shared" si="65"/>
        <v>4.2205028573219616E-2</v>
      </c>
      <c r="Z530" s="23">
        <f t="shared" si="66"/>
        <v>3.4501725564424213E-3</v>
      </c>
      <c r="AA530" s="36"/>
    </row>
    <row r="531" spans="4:27" ht="13.9" customHeight="1">
      <c r="D531" s="8"/>
      <c r="E531" s="9"/>
      <c r="F531" s="19"/>
      <c r="G531" s="19"/>
      <c r="H531" s="19"/>
      <c r="J531" s="45"/>
      <c r="K531" s="45"/>
      <c r="L531" s="45"/>
      <c r="M531" s="43"/>
      <c r="O531" s="12">
        <f t="shared" si="60"/>
        <v>43.166666666666664</v>
      </c>
      <c r="P531" s="13">
        <v>518</v>
      </c>
      <c r="Q531" s="22">
        <v>2.7923792238937262E-2</v>
      </c>
      <c r="R531" s="19">
        <f t="shared" si="61"/>
        <v>2.3505047196284767E-2</v>
      </c>
      <c r="S531" s="22">
        <v>3.4364348560665059E-2</v>
      </c>
      <c r="T531" s="19">
        <f t="shared" si="62"/>
        <v>4.2118599034086657E-2</v>
      </c>
      <c r="U531" s="24">
        <v>3.7216627801271995E-2</v>
      </c>
      <c r="V531" s="24">
        <f t="shared" si="63"/>
        <v>4.2239756903357462E-2</v>
      </c>
      <c r="W531" s="23">
        <f t="shared" si="64"/>
        <v>3.4529983615552151E-3</v>
      </c>
      <c r="X531" s="24">
        <v>3.6641854979065913E-2</v>
      </c>
      <c r="Y531" s="24">
        <f t="shared" si="65"/>
        <v>4.2213152631100703E-2</v>
      </c>
      <c r="Z531" s="23">
        <f t="shared" si="66"/>
        <v>3.4508311588645757E-3</v>
      </c>
      <c r="AA531" s="36"/>
    </row>
    <row r="532" spans="4:27" ht="13.9" customHeight="1">
      <c r="D532" s="8"/>
      <c r="E532" s="9"/>
      <c r="F532" s="19"/>
      <c r="G532" s="19"/>
      <c r="H532" s="19"/>
      <c r="J532" s="45"/>
      <c r="K532" s="45"/>
      <c r="L532" s="45"/>
      <c r="M532" s="43"/>
      <c r="O532" s="12">
        <f t="shared" si="60"/>
        <v>43.25</v>
      </c>
      <c r="P532" s="13">
        <v>519</v>
      </c>
      <c r="Q532" s="22">
        <v>2.7915259962599581E-2</v>
      </c>
      <c r="R532" s="19">
        <f t="shared" si="61"/>
        <v>2.3517375004241226E-2</v>
      </c>
      <c r="S532" s="22">
        <v>3.4379233695775113E-2</v>
      </c>
      <c r="T532" s="19">
        <f t="shared" si="62"/>
        <v>4.2128101289022002E-2</v>
      </c>
      <c r="U532" s="24">
        <v>3.7226282961801749E-2</v>
      </c>
      <c r="V532" s="24">
        <f t="shared" si="63"/>
        <v>4.2247396105149049E-2</v>
      </c>
      <c r="W532" s="23">
        <f t="shared" si="64"/>
        <v>3.4536175299539895E-3</v>
      </c>
      <c r="X532" s="24">
        <v>3.665256096877556E-2</v>
      </c>
      <c r="Y532" s="24">
        <f t="shared" si="65"/>
        <v>4.222119319482287E-2</v>
      </c>
      <c r="Z532" s="23">
        <f t="shared" si="66"/>
        <v>3.4514829870624375E-3</v>
      </c>
      <c r="AA532" s="36"/>
    </row>
    <row r="533" spans="4:27" ht="13.9" customHeight="1">
      <c r="D533" s="8"/>
      <c r="E533" s="9"/>
      <c r="F533" s="19"/>
      <c r="G533" s="19"/>
      <c r="H533" s="19"/>
      <c r="J533" s="45"/>
      <c r="K533" s="45"/>
      <c r="L533" s="45"/>
      <c r="M533" s="43"/>
      <c r="O533" s="12">
        <f t="shared" si="60"/>
        <v>43.333333333333336</v>
      </c>
      <c r="P533" s="13">
        <v>520</v>
      </c>
      <c r="Q533" s="22">
        <v>2.7906784382259797E-2</v>
      </c>
      <c r="R533" s="19">
        <f t="shared" si="61"/>
        <v>2.3529902725468288E-2</v>
      </c>
      <c r="S533" s="22">
        <v>3.4394079931372223E-2</v>
      </c>
      <c r="T533" s="19">
        <f t="shared" si="62"/>
        <v>4.2137500492475111E-2</v>
      </c>
      <c r="U533" s="24">
        <v>3.7235915696645749E-2</v>
      </c>
      <c r="V533" s="24">
        <f t="shared" si="63"/>
        <v>4.2254958119810615E-2</v>
      </c>
      <c r="W533" s="23">
        <f t="shared" si="64"/>
        <v>3.45423043746651E-3</v>
      </c>
      <c r="X533" s="24">
        <v>3.6663241271754243E-2</v>
      </c>
      <c r="Y533" s="24">
        <f t="shared" si="65"/>
        <v>4.22291511318027E-2</v>
      </c>
      <c r="Z533" s="23">
        <f t="shared" si="66"/>
        <v>3.4521281115780234E-3</v>
      </c>
      <c r="AA533" s="36"/>
    </row>
    <row r="534" spans="4:27" ht="13.9" customHeight="1">
      <c r="D534" s="8"/>
      <c r="E534" s="9"/>
      <c r="F534" s="19"/>
      <c r="G534" s="19"/>
      <c r="H534" s="19"/>
      <c r="J534" s="45"/>
      <c r="K534" s="45"/>
      <c r="L534" s="45"/>
      <c r="M534" s="43"/>
      <c r="O534" s="12">
        <f t="shared" si="60"/>
        <v>43.416666666666664</v>
      </c>
      <c r="P534" s="13">
        <v>521</v>
      </c>
      <c r="Q534" s="22">
        <v>2.7898365555524718E-2</v>
      </c>
      <c r="R534" s="19">
        <f t="shared" si="61"/>
        <v>2.354263082009922E-2</v>
      </c>
      <c r="S534" s="22">
        <v>3.4408887294507862E-2</v>
      </c>
      <c r="T534" s="19">
        <f t="shared" si="62"/>
        <v>4.2146797775021172E-2</v>
      </c>
      <c r="U534" s="24">
        <v>3.724552598728037E-2</v>
      </c>
      <c r="V534" s="24">
        <f t="shared" si="63"/>
        <v>4.2262443736454491E-2</v>
      </c>
      <c r="W534" s="23">
        <f t="shared" si="64"/>
        <v>3.4548371480547235E-3</v>
      </c>
      <c r="X534" s="24">
        <v>3.6673895877886498E-2</v>
      </c>
      <c r="Y534" s="24">
        <f t="shared" si="65"/>
        <v>4.2237027300818131E-2</v>
      </c>
      <c r="Z534" s="23">
        <f t="shared" si="66"/>
        <v>3.4527666021486603E-3</v>
      </c>
      <c r="AA534" s="36"/>
    </row>
    <row r="535" spans="4:27" ht="13.9" customHeight="1">
      <c r="D535" s="8"/>
      <c r="E535" s="9"/>
      <c r="F535" s="19"/>
      <c r="G535" s="19"/>
      <c r="H535" s="19"/>
      <c r="J535" s="45"/>
      <c r="K535" s="45"/>
      <c r="L535" s="45"/>
      <c r="M535" s="43"/>
      <c r="O535" s="12">
        <f t="shared" si="60"/>
        <v>43.5</v>
      </c>
      <c r="P535" s="13">
        <v>522</v>
      </c>
      <c r="Q535" s="22">
        <v>2.7890003540427477E-2</v>
      </c>
      <c r="R535" s="19">
        <f t="shared" si="61"/>
        <v>2.3555558493329798E-2</v>
      </c>
      <c r="S535" s="22">
        <v>3.442365581417417E-2</v>
      </c>
      <c r="T535" s="19">
        <f t="shared" si="62"/>
        <v>4.2155994254670537E-2</v>
      </c>
      <c r="U535" s="24">
        <v>3.7255113816827334E-2</v>
      </c>
      <c r="V535" s="24">
        <f t="shared" si="63"/>
        <v>4.2269853734840712E-2</v>
      </c>
      <c r="W535" s="23">
        <f t="shared" si="64"/>
        <v>3.4554377251532209E-3</v>
      </c>
      <c r="X535" s="24">
        <v>3.6684524778769712E-2</v>
      </c>
      <c r="Y535" s="24">
        <f t="shared" si="65"/>
        <v>4.2244822550854488E-2</v>
      </c>
      <c r="Z535" s="23">
        <f t="shared" si="66"/>
        <v>3.4533985278153434E-3</v>
      </c>
      <c r="AA535" s="36"/>
    </row>
    <row r="536" spans="4:27" ht="13.9" customHeight="1">
      <c r="D536" s="8"/>
      <c r="E536" s="9"/>
      <c r="F536" s="19"/>
      <c r="G536" s="19"/>
      <c r="H536" s="19"/>
      <c r="J536" s="45"/>
      <c r="K536" s="45"/>
      <c r="L536" s="45"/>
      <c r="M536" s="43"/>
      <c r="O536" s="12">
        <f t="shared" si="60"/>
        <v>43.583333333333336</v>
      </c>
      <c r="P536" s="13">
        <v>523</v>
      </c>
      <c r="Q536" s="22">
        <v>2.7881698393014132E-2</v>
      </c>
      <c r="R536" s="19">
        <f t="shared" si="61"/>
        <v>2.3568681151807214E-2</v>
      </c>
      <c r="S536" s="22">
        <v>3.4438385521261994E-2</v>
      </c>
      <c r="T536" s="19">
        <f t="shared" si="62"/>
        <v>4.2165091036677094E-2</v>
      </c>
      <c r="U536" s="24">
        <v>3.7264679170020409E-2</v>
      </c>
      <c r="V536" s="24">
        <f t="shared" si="63"/>
        <v>4.227718888717158E-2</v>
      </c>
      <c r="W536" s="23">
        <f t="shared" si="64"/>
        <v>3.4560322314434178E-3</v>
      </c>
      <c r="X536" s="24">
        <v>3.6695127967679486E-2</v>
      </c>
      <c r="Y536" s="24">
        <f t="shared" si="65"/>
        <v>4.2252537722568206E-2</v>
      </c>
      <c r="Z536" s="23">
        <f t="shared" si="66"/>
        <v>3.4540239568301434E-3</v>
      </c>
      <c r="AA536" s="36"/>
    </row>
    <row r="537" spans="4:27" ht="13.9" customHeight="1">
      <c r="D537" s="8"/>
      <c r="E537" s="9"/>
      <c r="F537" s="19"/>
      <c r="G537" s="19"/>
      <c r="H537" s="19"/>
      <c r="J537" s="45"/>
      <c r="K537" s="45"/>
      <c r="L537" s="45"/>
      <c r="M537" s="43"/>
      <c r="O537" s="12">
        <f t="shared" si="60"/>
        <v>43.666666666666664</v>
      </c>
      <c r="P537" s="13">
        <v>524</v>
      </c>
      <c r="Q537" s="22">
        <v>2.7873450160082136E-2</v>
      </c>
      <c r="R537" s="19">
        <f t="shared" si="61"/>
        <v>2.3581998042221386E-2</v>
      </c>
      <c r="S537" s="22">
        <v>3.4453076448518916E-2</v>
      </c>
      <c r="T537" s="19">
        <f t="shared" si="62"/>
        <v>4.2174089214295218E-2</v>
      </c>
      <c r="U537" s="24">
        <v>3.7274222033175652E-2</v>
      </c>
      <c r="V537" s="24">
        <f t="shared" si="63"/>
        <v>4.2284449957603831E-2</v>
      </c>
      <c r="W537" s="23">
        <f t="shared" si="64"/>
        <v>3.4566207289972173E-3</v>
      </c>
      <c r="X537" s="24">
        <v>3.6705705439537439E-2</v>
      </c>
      <c r="Y537" s="24">
        <f t="shared" si="65"/>
        <v>4.2260173647259869E-2</v>
      </c>
      <c r="Z537" s="23">
        <f t="shared" si="66"/>
        <v>3.4546429567736681E-3</v>
      </c>
      <c r="AA537" s="36"/>
    </row>
    <row r="538" spans="4:27" ht="13.9" customHeight="1">
      <c r="D538" s="8"/>
      <c r="E538" s="9"/>
      <c r="F538" s="19"/>
      <c r="G538" s="19"/>
      <c r="H538" s="19"/>
      <c r="J538" s="45"/>
      <c r="K538" s="45"/>
      <c r="L538" s="45"/>
      <c r="M538" s="43"/>
      <c r="O538" s="12">
        <f t="shared" si="60"/>
        <v>43.75</v>
      </c>
      <c r="P538" s="13">
        <v>525</v>
      </c>
      <c r="Q538" s="22">
        <v>2.7865258886615063E-2</v>
      </c>
      <c r="R538" s="19">
        <f t="shared" si="61"/>
        <v>2.3595509700057971E-2</v>
      </c>
      <c r="S538" s="22">
        <v>3.4467728630507954E-2</v>
      </c>
      <c r="T538" s="19">
        <f t="shared" si="62"/>
        <v>4.2182989868024823E-2</v>
      </c>
      <c r="U538" s="24">
        <v>3.7283742394161212E-2</v>
      </c>
      <c r="V538" s="24">
        <f t="shared" si="63"/>
        <v>4.2291637701829643E-2</v>
      </c>
      <c r="W538" s="23">
        <f t="shared" si="64"/>
        <v>3.4572032792383744E-3</v>
      </c>
      <c r="X538" s="24">
        <v>3.6716257190877899E-2</v>
      </c>
      <c r="Y538" s="24">
        <f t="shared" si="65"/>
        <v>4.2267731147942911E-2</v>
      </c>
      <c r="Z538" s="23">
        <f t="shared" si="66"/>
        <v>3.4552555944724617E-3</v>
      </c>
      <c r="AA538" s="36"/>
    </row>
    <row r="539" spans="4:27" ht="13.9" customHeight="1">
      <c r="D539" s="8"/>
      <c r="E539" s="9"/>
      <c r="F539" s="19"/>
      <c r="G539" s="19"/>
      <c r="H539" s="19"/>
      <c r="J539" s="45"/>
      <c r="K539" s="45"/>
      <c r="L539" s="45"/>
      <c r="M539" s="43"/>
      <c r="O539" s="12">
        <f t="shared" si="60"/>
        <v>43.833333333333336</v>
      </c>
      <c r="P539" s="13">
        <v>526</v>
      </c>
      <c r="Q539" s="22">
        <v>2.785712461825951E-2</v>
      </c>
      <c r="R539" s="19">
        <f t="shared" si="61"/>
        <v>2.3609216676311329E-2</v>
      </c>
      <c r="S539" s="22">
        <v>3.4482342103567598E-2</v>
      </c>
      <c r="T539" s="19">
        <f t="shared" si="62"/>
        <v>4.2191794067027555E-2</v>
      </c>
      <c r="U539" s="24">
        <v>3.7293240242366688E-2</v>
      </c>
      <c r="V539" s="24">
        <f t="shared" si="63"/>
        <v>4.2298752868228817E-2</v>
      </c>
      <c r="W539" s="23">
        <f t="shared" si="64"/>
        <v>3.4577799429091893E-3</v>
      </c>
      <c r="X539" s="24">
        <v>3.6726783219817039E-2</v>
      </c>
      <c r="Y539" s="24">
        <f t="shared" si="65"/>
        <v>4.2275211037914318E-2</v>
      </c>
      <c r="Z539" s="23">
        <f t="shared" si="66"/>
        <v>3.4558619360853804E-3</v>
      </c>
      <c r="AA539" s="36"/>
    </row>
    <row r="540" spans="4:27" ht="13.9" customHeight="1">
      <c r="D540" s="8"/>
      <c r="E540" s="9"/>
      <c r="F540" s="19"/>
      <c r="G540" s="19"/>
      <c r="H540" s="19"/>
      <c r="J540" s="45"/>
      <c r="K540" s="45"/>
      <c r="L540" s="45"/>
      <c r="M540" s="43"/>
      <c r="O540" s="12">
        <f t="shared" si="60"/>
        <v>43.916666666666664</v>
      </c>
      <c r="P540" s="13">
        <v>527</v>
      </c>
      <c r="Q540" s="22">
        <v>2.7849047401348415E-2</v>
      </c>
      <c r="R540" s="19">
        <f t="shared" si="61"/>
        <v>2.3623119537989901E-2</v>
      </c>
      <c r="S540" s="22">
        <v>3.4496916905772279E-2</v>
      </c>
      <c r="T540" s="19">
        <f t="shared" si="62"/>
        <v>4.2200502867652201E-2</v>
      </c>
      <c r="U540" s="24">
        <v>3.7302715568674483E-2</v>
      </c>
      <c r="V540" s="24">
        <f t="shared" si="63"/>
        <v>4.2305796197402046E-2</v>
      </c>
      <c r="W540" s="23">
        <f t="shared" si="64"/>
        <v>3.4583507801617674E-3</v>
      </c>
      <c r="X540" s="24">
        <v>3.6737283526019571E-2</v>
      </c>
      <c r="Y540" s="24">
        <f t="shared" si="65"/>
        <v>4.2282614123118734E-2</v>
      </c>
      <c r="Z540" s="23">
        <f t="shared" si="66"/>
        <v>3.4564620469883511E-3</v>
      </c>
      <c r="AA540" s="36"/>
    </row>
    <row r="541" spans="4:27" ht="13.9" customHeight="1">
      <c r="D541" s="8"/>
      <c r="E541" s="9"/>
      <c r="F541" s="19"/>
      <c r="G541" s="19"/>
      <c r="H541" s="19"/>
      <c r="J541" s="45"/>
      <c r="K541" s="45"/>
      <c r="L541" s="45"/>
      <c r="M541" s="43"/>
      <c r="O541" s="12">
        <f t="shared" si="60"/>
        <v>44</v>
      </c>
      <c r="P541" s="13">
        <v>528</v>
      </c>
      <c r="Q541" s="22">
        <v>2.7841027282925035E-2</v>
      </c>
      <c r="R541" s="19">
        <f t="shared" si="61"/>
        <v>2.3637217614593808E-2</v>
      </c>
      <c r="S541" s="22">
        <v>3.4511453076893295E-2</v>
      </c>
      <c r="T541" s="19">
        <f t="shared" si="62"/>
        <v>4.2209117314805367E-2</v>
      </c>
      <c r="U541" s="24">
        <v>3.7312168365431386E-2</v>
      </c>
      <c r="V541" s="24">
        <f t="shared" si="63"/>
        <v>4.2312768421358893E-2</v>
      </c>
      <c r="W541" s="23">
        <f t="shared" si="64"/>
        <v>3.4589158505224926E-3</v>
      </c>
      <c r="X541" s="24">
        <v>3.6747758110670103E-2</v>
      </c>
      <c r="Y541" s="24">
        <f t="shared" si="65"/>
        <v>4.228994120001861E-2</v>
      </c>
      <c r="Z541" s="23">
        <f t="shared" si="66"/>
        <v>3.4570559919644417E-3</v>
      </c>
      <c r="AA541" s="36"/>
    </row>
    <row r="542" spans="4:27" ht="13.9" customHeight="1">
      <c r="D542" s="8"/>
      <c r="E542" s="9"/>
      <c r="F542" s="19"/>
      <c r="G542" s="19"/>
      <c r="H542" s="19"/>
      <c r="J542" s="45"/>
      <c r="K542" s="45"/>
      <c r="L542" s="45"/>
      <c r="M542" s="43"/>
      <c r="O542" s="12">
        <f t="shared" si="60"/>
        <v>44.083333333333336</v>
      </c>
      <c r="P542" s="13">
        <v>529</v>
      </c>
      <c r="Q542" s="22">
        <v>2.7833064308386835E-2</v>
      </c>
      <c r="R542" s="19">
        <f t="shared" si="61"/>
        <v>2.3651506500682151E-2</v>
      </c>
      <c r="S542" s="22">
        <v>3.452595065835995E-2</v>
      </c>
      <c r="T542" s="19">
        <f t="shared" si="62"/>
        <v>4.2217638441998773E-2</v>
      </c>
      <c r="U542" s="24">
        <v>3.7321598626418595E-2</v>
      </c>
      <c r="V542" s="24">
        <f t="shared" si="63"/>
        <v>4.2319670265698051E-2</v>
      </c>
      <c r="W542" s="23">
        <f t="shared" si="64"/>
        <v>3.4594752128251915E-3</v>
      </c>
      <c r="X542" s="24">
        <v>3.6758206976441166E-2</v>
      </c>
      <c r="Y542" s="24">
        <f t="shared" si="65"/>
        <v>4.2297193056820337E-2</v>
      </c>
      <c r="Z542" s="23">
        <f t="shared" si="66"/>
        <v>3.4576438350331085E-3</v>
      </c>
      <c r="AA542" s="36"/>
    </row>
    <row r="543" spans="4:27" ht="13.9" customHeight="1">
      <c r="D543" s="8"/>
      <c r="E543" s="9"/>
      <c r="F543" s="19"/>
      <c r="G543" s="19"/>
      <c r="H543" s="19"/>
      <c r="J543" s="45"/>
      <c r="K543" s="45"/>
      <c r="L543" s="45"/>
      <c r="M543" s="43"/>
      <c r="O543" s="12">
        <f t="shared" si="60"/>
        <v>44.166666666666664</v>
      </c>
      <c r="P543" s="13">
        <v>530</v>
      </c>
      <c r="Q543" s="22">
        <v>2.7825158514425352E-2</v>
      </c>
      <c r="R543" s="19">
        <f t="shared" si="61"/>
        <v>2.3665985568174897E-2</v>
      </c>
      <c r="S543" s="22">
        <v>3.4540409693223806E-2</v>
      </c>
      <c r="T543" s="19">
        <f t="shared" si="62"/>
        <v>4.2226067270620948E-2</v>
      </c>
      <c r="U543" s="24">
        <v>3.7331006346825735E-2</v>
      </c>
      <c r="V543" s="24">
        <f t="shared" si="63"/>
        <v>4.2326502447879166E-2</v>
      </c>
      <c r="W543" s="23">
        <f t="shared" si="64"/>
        <v>3.4600289253869931E-3</v>
      </c>
      <c r="X543" s="24">
        <v>3.6768630127463453E-2</v>
      </c>
      <c r="Y543" s="24">
        <f t="shared" si="65"/>
        <v>4.2304370473875919E-2</v>
      </c>
      <c r="Z543" s="23">
        <f t="shared" si="66"/>
        <v>3.4582256395490063E-3</v>
      </c>
      <c r="AA543" s="36"/>
    </row>
    <row r="544" spans="4:27" ht="13.9" customHeight="1">
      <c r="D544" s="8"/>
      <c r="E544" s="9"/>
      <c r="F544" s="19"/>
      <c r="G544" s="19"/>
      <c r="H544" s="19"/>
      <c r="J544" s="45"/>
      <c r="K544" s="45"/>
      <c r="L544" s="45"/>
      <c r="M544" s="43"/>
      <c r="O544" s="12">
        <f t="shared" si="60"/>
        <v>44.25</v>
      </c>
      <c r="P544" s="13">
        <v>531</v>
      </c>
      <c r="Q544" s="22">
        <v>2.7817309936251311E-2</v>
      </c>
      <c r="R544" s="19">
        <f t="shared" si="61"/>
        <v>2.3680655456211674E-2</v>
      </c>
      <c r="S544" s="22">
        <v>3.4554830226120048E-2</v>
      </c>
      <c r="T544" s="19">
        <f t="shared" si="62"/>
        <v>4.2234404810957971E-2</v>
      </c>
      <c r="U544" s="24">
        <v>3.7340391523222882E-2</v>
      </c>
      <c r="V544" s="24">
        <f t="shared" si="63"/>
        <v>4.2333265677772625E-2</v>
      </c>
      <c r="W544" s="23">
        <f t="shared" si="64"/>
        <v>3.4605770458699947E-3</v>
      </c>
      <c r="X544" s="24">
        <v>3.6779027569297407E-2</v>
      </c>
      <c r="Y544" s="24">
        <f t="shared" si="65"/>
        <v>4.2311474222859413E-2</v>
      </c>
      <c r="Z544" s="23">
        <f t="shared" si="66"/>
        <v>3.4588014682328527E-3</v>
      </c>
      <c r="AA544" s="36"/>
    </row>
    <row r="545" spans="4:27" ht="13.9" customHeight="1">
      <c r="D545" s="8"/>
      <c r="E545" s="9"/>
      <c r="F545" s="19"/>
      <c r="G545" s="19"/>
      <c r="H545" s="19"/>
      <c r="J545" s="45"/>
      <c r="K545" s="45"/>
      <c r="L545" s="45"/>
      <c r="M545" s="43"/>
      <c r="O545" s="12">
        <f t="shared" si="60"/>
        <v>44.333333333333336</v>
      </c>
      <c r="P545" s="13">
        <v>532</v>
      </c>
      <c r="Q545" s="22">
        <v>2.780951861000025E-2</v>
      </c>
      <c r="R545" s="19">
        <f t="shared" si="61"/>
        <v>2.369551681974813E-2</v>
      </c>
      <c r="S545" s="22">
        <v>3.4569212303232399E-2</v>
      </c>
      <c r="T545" s="19">
        <f t="shared" si="62"/>
        <v>4.2242652062159713E-2</v>
      </c>
      <c r="U545" s="24">
        <v>3.7349754153533032E-2</v>
      </c>
      <c r="V545" s="24">
        <f t="shared" si="63"/>
        <v>4.2339960658271725E-2</v>
      </c>
      <c r="W545" s="23">
        <f t="shared" si="64"/>
        <v>3.4611196313245607E-3</v>
      </c>
      <c r="X545" s="24">
        <v>3.6789399308904125E-2</v>
      </c>
      <c r="Y545" s="24">
        <f t="shared" si="65"/>
        <v>4.2318505067292289E-2</v>
      </c>
      <c r="Z545" s="23">
        <f t="shared" si="66"/>
        <v>3.459371383107479E-3</v>
      </c>
      <c r="AA545" s="36"/>
    </row>
    <row r="546" spans="4:27" ht="13.9" customHeight="1">
      <c r="D546" s="8"/>
      <c r="E546" s="9"/>
      <c r="F546" s="19"/>
      <c r="G546" s="19"/>
      <c r="H546" s="19"/>
      <c r="J546" s="45"/>
      <c r="K546" s="45"/>
      <c r="L546" s="45"/>
      <c r="M546" s="43"/>
      <c r="O546" s="12">
        <f t="shared" si="60"/>
        <v>44.416666666666664</v>
      </c>
      <c r="P546" s="13">
        <v>533</v>
      </c>
      <c r="Q546" s="22">
        <v>2.7801784572753618E-2</v>
      </c>
      <c r="R546" s="19">
        <f t="shared" si="61"/>
        <v>2.3710570329865677E-2</v>
      </c>
      <c r="S546" s="22">
        <v>3.4583555972257596E-2</v>
      </c>
      <c r="T546" s="19">
        <f t="shared" si="62"/>
        <v>4.2250810011933204E-2</v>
      </c>
      <c r="U546" s="24">
        <v>3.7359094237006785E-2</v>
      </c>
      <c r="V546" s="24">
        <f t="shared" si="63"/>
        <v>4.2346588084644088E-2</v>
      </c>
      <c r="W546" s="23">
        <f t="shared" si="64"/>
        <v>3.4616567382388386E-3</v>
      </c>
      <c r="X546" s="24">
        <v>3.6799745354616054E-2</v>
      </c>
      <c r="Y546" s="24">
        <f t="shared" si="65"/>
        <v>4.2325463762687532E-2</v>
      </c>
      <c r="Z546" s="23">
        <f t="shared" si="66"/>
        <v>3.4599354455380205E-3</v>
      </c>
      <c r="AA546" s="36"/>
    </row>
    <row r="547" spans="4:27" ht="13.9" customHeight="1">
      <c r="D547" s="8"/>
      <c r="E547" s="9"/>
      <c r="F547" s="19"/>
      <c r="G547" s="19"/>
      <c r="H547" s="19"/>
      <c r="J547" s="45"/>
      <c r="K547" s="45"/>
      <c r="L547" s="45"/>
      <c r="M547" s="43"/>
      <c r="O547" s="12">
        <f t="shared" si="60"/>
        <v>44.5</v>
      </c>
      <c r="P547" s="13">
        <v>534</v>
      </c>
      <c r="Q547" s="22">
        <v>2.7794107862559647E-2</v>
      </c>
      <c r="R547" s="19">
        <f t="shared" si="61"/>
        <v>2.3725815440564846E-2</v>
      </c>
      <c r="S547" s="22">
        <v>3.4597861282369857E-2</v>
      </c>
      <c r="T547" s="19">
        <f t="shared" si="62"/>
        <v>4.2258879636938307E-2</v>
      </c>
      <c r="U547" s="24">
        <v>3.7368411774195032E-2</v>
      </c>
      <c r="V547" s="24">
        <f t="shared" si="63"/>
        <v>4.2353148645073224E-2</v>
      </c>
      <c r="W547" s="23">
        <f t="shared" si="64"/>
        <v>3.4621884224876887E-3</v>
      </c>
      <c r="X547" s="24">
        <v>3.6810065716110119E-2</v>
      </c>
      <c r="Y547" s="24">
        <f t="shared" si="65"/>
        <v>4.2332351056826534E-2</v>
      </c>
      <c r="Z547" s="23">
        <f t="shared" si="66"/>
        <v>3.4604937162450167E-3</v>
      </c>
      <c r="AA547" s="36"/>
    </row>
    <row r="548" spans="4:27" ht="13.9" customHeight="1">
      <c r="D548" s="8"/>
      <c r="E548" s="9"/>
      <c r="F548" s="19"/>
      <c r="G548" s="19"/>
      <c r="H548" s="19"/>
      <c r="J548" s="45"/>
      <c r="K548" s="45"/>
      <c r="L548" s="45"/>
      <c r="M548" s="43"/>
      <c r="O548" s="12">
        <f t="shared" si="60"/>
        <v>44.583333333333336</v>
      </c>
      <c r="P548" s="13">
        <v>535</v>
      </c>
      <c r="Q548" s="22">
        <v>2.7786488516140295E-2</v>
      </c>
      <c r="R548" s="19">
        <f t="shared" si="61"/>
        <v>2.3741247929089715E-2</v>
      </c>
      <c r="S548" s="22">
        <v>3.461212828418736E-2</v>
      </c>
      <c r="T548" s="19">
        <f t="shared" si="62"/>
        <v>4.2266861903297315E-2</v>
      </c>
      <c r="U548" s="24">
        <v>3.7377706766924534E-2</v>
      </c>
      <c r="V548" s="24">
        <f t="shared" si="63"/>
        <v>4.2359643020478011E-2</v>
      </c>
      <c r="W548" s="23">
        <f t="shared" si="64"/>
        <v>3.4627147393744284E-3</v>
      </c>
      <c r="X548" s="24">
        <v>3.6820360404380414E-2</v>
      </c>
      <c r="Y548" s="24">
        <f t="shared" si="65"/>
        <v>4.2339167689098955E-2</v>
      </c>
      <c r="Z548" s="23">
        <f t="shared" si="66"/>
        <v>3.4610462553261723E-3</v>
      </c>
      <c r="AA548" s="36"/>
    </row>
    <row r="549" spans="4:27" ht="13.9" customHeight="1">
      <c r="D549" s="8"/>
      <c r="E549" s="9"/>
      <c r="F549" s="19"/>
      <c r="G549" s="19"/>
      <c r="H549" s="19"/>
      <c r="J549" s="45"/>
      <c r="K549" s="45"/>
      <c r="L549" s="45"/>
      <c r="M549" s="43"/>
      <c r="O549" s="12">
        <f t="shared" si="60"/>
        <v>44.666666666666664</v>
      </c>
      <c r="P549" s="13">
        <v>536</v>
      </c>
      <c r="Q549" s="22">
        <v>2.7778926562017192E-2</v>
      </c>
      <c r="R549" s="19">
        <f t="shared" si="61"/>
        <v>2.3756867290920081E-2</v>
      </c>
      <c r="S549" s="22">
        <v>3.4626357029738264E-2</v>
      </c>
      <c r="T549" s="19">
        <f t="shared" si="62"/>
        <v>4.2274757766164628E-2</v>
      </c>
      <c r="U549" s="24">
        <v>3.7386979218271721E-2</v>
      </c>
      <c r="V549" s="24">
        <f t="shared" si="63"/>
        <v>4.2366071885086232E-2</v>
      </c>
      <c r="W549" s="23">
        <f t="shared" si="64"/>
        <v>3.4632357436179539E-3</v>
      </c>
      <c r="X549" s="24">
        <v>3.6830629431710449E-2</v>
      </c>
      <c r="Y549" s="24">
        <f t="shared" si="65"/>
        <v>4.2345914391727302E-2</v>
      </c>
      <c r="Z549" s="23">
        <f t="shared" si="66"/>
        <v>3.461593122202844E-3</v>
      </c>
      <c r="AA549" s="36"/>
    </row>
    <row r="550" spans="4:27" ht="13.9" customHeight="1">
      <c r="D550" s="8"/>
      <c r="E550" s="9"/>
      <c r="F550" s="19"/>
      <c r="G550" s="19"/>
      <c r="H550" s="19"/>
      <c r="J550" s="45"/>
      <c r="K550" s="45"/>
      <c r="L550" s="45"/>
      <c r="M550" s="43"/>
      <c r="O550" s="12">
        <f t="shared" si="60"/>
        <v>44.75</v>
      </c>
      <c r="P550" s="13">
        <v>537</v>
      </c>
      <c r="Q550" s="22">
        <v>2.7771422027539572E-2</v>
      </c>
      <c r="R550" s="19">
        <f t="shared" si="61"/>
        <v>2.3772674267511507E-2</v>
      </c>
      <c r="S550" s="22">
        <v>3.4640547572428293E-2</v>
      </c>
      <c r="T550" s="19">
        <f t="shared" si="62"/>
        <v>4.2282568169722756E-2</v>
      </c>
      <c r="U550" s="24">
        <v>3.7396229132539371E-2</v>
      </c>
      <c r="V550" s="24">
        <f t="shared" si="63"/>
        <v>4.2372435905360328E-2</v>
      </c>
      <c r="W550" s="23">
        <f t="shared" si="64"/>
        <v>3.463751489398037E-3</v>
      </c>
      <c r="X550" s="24">
        <v>3.6840872811647607E-2</v>
      </c>
      <c r="Y550" s="24">
        <f t="shared" si="65"/>
        <v>4.235259188842555E-2</v>
      </c>
      <c r="Z550" s="23">
        <f t="shared" si="66"/>
        <v>3.4621343757197387E-3</v>
      </c>
      <c r="AA550" s="36"/>
    </row>
    <row r="551" spans="4:27" ht="13.9" customHeight="1">
      <c r="D551" s="8"/>
      <c r="E551" s="9"/>
      <c r="F551" s="19"/>
      <c r="G551" s="19"/>
      <c r="H551" s="19"/>
      <c r="J551" s="45"/>
      <c r="K551" s="45"/>
      <c r="L551" s="45"/>
      <c r="M551" s="43"/>
      <c r="O551" s="12">
        <f t="shared" si="60"/>
        <v>44.833333333333336</v>
      </c>
      <c r="P551" s="13">
        <v>538</v>
      </c>
      <c r="Q551" s="22">
        <v>2.7763974941220404E-2</v>
      </c>
      <c r="R551" s="19">
        <f t="shared" si="61"/>
        <v>2.3788669617257563E-2</v>
      </c>
      <c r="S551" s="22">
        <v>3.4654699967007208E-2</v>
      </c>
      <c r="T551" s="19">
        <f t="shared" si="62"/>
        <v>4.2290294048389798E-2</v>
      </c>
      <c r="U551" s="24">
        <v>3.7405456515230195E-2</v>
      </c>
      <c r="V551" s="24">
        <f t="shared" si="63"/>
        <v>4.237873574213169E-2</v>
      </c>
      <c r="W551" s="23">
        <f t="shared" si="64"/>
        <v>3.4642620302691718E-3</v>
      </c>
      <c r="X551" s="24">
        <v>3.6851090558976285E-2</v>
      </c>
      <c r="Y551" s="24">
        <f t="shared" si="65"/>
        <v>4.2359200896030069E-2</v>
      </c>
      <c r="Z551" s="23">
        <f t="shared" si="66"/>
        <v>3.4626700740361116E-3</v>
      </c>
      <c r="AA551" s="36"/>
    </row>
    <row r="552" spans="4:27" ht="13.9" customHeight="1">
      <c r="D552" s="8"/>
      <c r="E552" s="9"/>
      <c r="F552" s="19"/>
      <c r="G552" s="19"/>
      <c r="H552" s="19"/>
      <c r="J552" s="45"/>
      <c r="K552" s="45"/>
      <c r="L552" s="45"/>
      <c r="M552" s="43"/>
      <c r="O552" s="12">
        <f t="shared" si="60"/>
        <v>44.916666666666664</v>
      </c>
      <c r="P552" s="13">
        <v>539</v>
      </c>
      <c r="Q552" s="22">
        <v>2.77565853327566E-2</v>
      </c>
      <c r="R552" s="19">
        <f t="shared" si="61"/>
        <v>2.3804854113030238E-2</v>
      </c>
      <c r="S552" s="22">
        <v>3.4668814269538384E-2</v>
      </c>
      <c r="T552" s="19">
        <f t="shared" si="62"/>
        <v>4.2297936325267127E-2</v>
      </c>
      <c r="U552" s="24">
        <v>3.7414661373025959E-2</v>
      </c>
      <c r="V552" s="24">
        <f t="shared" si="63"/>
        <v>4.2384972048028935E-2</v>
      </c>
      <c r="W552" s="23">
        <f t="shared" si="64"/>
        <v>3.4647674193322153E-3</v>
      </c>
      <c r="X552" s="24">
        <v>3.6861282689693242E-2</v>
      </c>
      <c r="Y552" s="24">
        <f t="shared" si="65"/>
        <v>4.236574212333033E-2</v>
      </c>
      <c r="Z552" s="23">
        <f t="shared" si="66"/>
        <v>3.4632002747567725E-3</v>
      </c>
      <c r="AA552" s="36"/>
    </row>
    <row r="553" spans="4:27" ht="13.9" customHeight="1">
      <c r="D553" s="8"/>
      <c r="E553" s="9"/>
      <c r="F553" s="19"/>
      <c r="G553" s="19"/>
      <c r="H553" s="19"/>
      <c r="J553" s="45"/>
      <c r="K553" s="45"/>
      <c r="L553" s="45"/>
      <c r="M553" s="43"/>
      <c r="O553" s="12">
        <f t="shared" si="60"/>
        <v>45</v>
      </c>
      <c r="P553" s="13">
        <v>540</v>
      </c>
      <c r="Q553" s="22">
        <v>2.7749253233045224E-2</v>
      </c>
      <c r="R553" s="19">
        <f t="shared" si="61"/>
        <v>2.3821227330758976E-2</v>
      </c>
      <c r="S553" s="22">
        <v>3.4682890537366395E-2</v>
      </c>
      <c r="T553" s="19">
        <f t="shared" si="62"/>
        <v>4.2305495913851798E-2</v>
      </c>
      <c r="U553" s="24">
        <v>3.742384371376084E-2</v>
      </c>
      <c r="V553" s="24">
        <f t="shared" si="63"/>
        <v>4.2391145469588443E-2</v>
      </c>
      <c r="W553" s="23">
        <f t="shared" si="64"/>
        <v>3.4652677090281081E-3</v>
      </c>
      <c r="X553" s="24">
        <v>3.6871449220981622E-2</v>
      </c>
      <c r="Y553" s="24">
        <f t="shared" si="65"/>
        <v>4.2372216271963747E-2</v>
      </c>
      <c r="Z553" s="23">
        <f t="shared" si="66"/>
        <v>3.4637250348390491E-3</v>
      </c>
      <c r="AA553" s="36"/>
    </row>
    <row r="554" spans="4:27" ht="13.9" customHeight="1">
      <c r="D554" s="8"/>
      <c r="E554" s="9"/>
      <c r="F554" s="19"/>
      <c r="G554" s="19"/>
      <c r="H554" s="19"/>
      <c r="J554" s="45"/>
      <c r="K554" s="45"/>
      <c r="L554" s="45"/>
      <c r="M554" s="43"/>
      <c r="O554" s="12">
        <f t="shared" si="60"/>
        <v>45.083333333333336</v>
      </c>
      <c r="P554" s="13">
        <v>541</v>
      </c>
      <c r="Q554" s="22">
        <v>2.7741978671950829E-2</v>
      </c>
      <c r="R554" s="19">
        <f t="shared" si="61"/>
        <v>2.3837785229324115E-2</v>
      </c>
      <c r="S554" s="22">
        <v>3.4696928829087037E-2</v>
      </c>
      <c r="T554" s="19">
        <f t="shared" si="62"/>
        <v>4.2312973717422819E-2</v>
      </c>
      <c r="U554" s="24">
        <v>3.7433003546400334E-2</v>
      </c>
      <c r="V554" s="24">
        <f t="shared" si="63"/>
        <v>4.239725664696814E-2</v>
      </c>
      <c r="W554" s="23">
        <f t="shared" si="64"/>
        <v>3.4657629513064059E-3</v>
      </c>
      <c r="X554" s="24">
        <v>3.6881590171187195E-2</v>
      </c>
      <c r="Y554" s="24">
        <f t="shared" si="65"/>
        <v>4.2378624035966039E-2</v>
      </c>
      <c r="Z554" s="23">
        <f t="shared" si="66"/>
        <v>3.4642444106642856E-3</v>
      </c>
      <c r="AA554" s="36"/>
    </row>
    <row r="555" spans="4:27" ht="13.9" customHeight="1">
      <c r="D555" s="8"/>
      <c r="E555" s="9"/>
      <c r="F555" s="19"/>
      <c r="G555" s="19"/>
      <c r="H555" s="19"/>
      <c r="J555" s="45"/>
      <c r="K555" s="45"/>
      <c r="L555" s="45"/>
      <c r="M555" s="43"/>
      <c r="O555" s="12">
        <f t="shared" si="60"/>
        <v>45.166666666666664</v>
      </c>
      <c r="P555" s="13">
        <v>542</v>
      </c>
      <c r="Q555" s="22">
        <v>2.773476167161637E-2</v>
      </c>
      <c r="R555" s="19">
        <f t="shared" si="61"/>
        <v>2.3854527423910588E-2</v>
      </c>
      <c r="S555" s="22">
        <v>3.4710929204517127E-2</v>
      </c>
      <c r="T555" s="19">
        <f t="shared" si="62"/>
        <v>4.2320370628740056E-2</v>
      </c>
      <c r="U555" s="24">
        <v>3.744214088101816E-2</v>
      </c>
      <c r="V555" s="24">
        <f t="shared" si="63"/>
        <v>4.2403306212742686E-2</v>
      </c>
      <c r="W555" s="23">
        <f t="shared" si="64"/>
        <v>3.4662531976039634E-3</v>
      </c>
      <c r="X555" s="24">
        <v>3.6891705559793264E-2</v>
      </c>
      <c r="Y555" s="24">
        <f t="shared" si="65"/>
        <v>4.2384966102068988E-2</v>
      </c>
      <c r="Z555" s="23">
        <f t="shared" si="66"/>
        <v>3.4647584580016488E-3</v>
      </c>
      <c r="AA555" s="36"/>
    </row>
    <row r="556" spans="4:27" ht="13.9" customHeight="1">
      <c r="D556" s="8"/>
      <c r="E556" s="9"/>
      <c r="F556" s="19"/>
      <c r="G556" s="19"/>
      <c r="H556" s="19"/>
      <c r="J556" s="45"/>
      <c r="K556" s="45"/>
      <c r="L556" s="45"/>
      <c r="M556" s="43"/>
      <c r="O556" s="12">
        <f t="shared" si="60"/>
        <v>45.25</v>
      </c>
      <c r="P556" s="13">
        <v>543</v>
      </c>
      <c r="Q556" s="22">
        <v>2.7727602253293515E-2</v>
      </c>
      <c r="R556" s="19">
        <f t="shared" si="61"/>
        <v>2.3871454759666788E-2</v>
      </c>
      <c r="S556" s="22">
        <v>3.4724891724664753E-2</v>
      </c>
      <c r="T556" s="19">
        <f t="shared" si="62"/>
        <v>4.2327687531186653E-2</v>
      </c>
      <c r="U556" s="24">
        <v>3.745125572877317E-2</v>
      </c>
      <c r="V556" s="24">
        <f t="shared" si="63"/>
        <v>4.2409294793725127E-2</v>
      </c>
      <c r="W556" s="23">
        <f t="shared" si="64"/>
        <v>3.4667384987463468E-3</v>
      </c>
      <c r="X556" s="24">
        <v>3.6901795407397131E-2</v>
      </c>
      <c r="Y556" s="24">
        <f t="shared" si="65"/>
        <v>4.2391243149891178E-2</v>
      </c>
      <c r="Z556" s="23">
        <f t="shared" si="66"/>
        <v>3.4652672320318878E-3</v>
      </c>
      <c r="AA556" s="36"/>
    </row>
    <row r="557" spans="4:27" ht="13.9" customHeight="1">
      <c r="D557" s="8"/>
      <c r="E557" s="9"/>
      <c r="F557" s="19"/>
      <c r="G557" s="19"/>
      <c r="H557" s="19"/>
      <c r="J557" s="45"/>
      <c r="K557" s="45"/>
      <c r="L557" s="45"/>
      <c r="M557" s="43"/>
      <c r="O557" s="12">
        <f t="shared" si="60"/>
        <v>45.333333333333336</v>
      </c>
      <c r="P557" s="13">
        <v>544</v>
      </c>
      <c r="Q557" s="22">
        <v>2.7720500439620821E-2</v>
      </c>
      <c r="R557" s="19">
        <f t="shared" si="61"/>
        <v>2.3888568095092211E-2</v>
      </c>
      <c r="S557" s="22">
        <v>3.4738816451700183E-2</v>
      </c>
      <c r="T557" s="19">
        <f t="shared" si="62"/>
        <v>4.2334925298131321E-2</v>
      </c>
      <c r="U557" s="24">
        <v>3.746034810188803E-2</v>
      </c>
      <c r="V557" s="24">
        <f t="shared" si="63"/>
        <v>4.2415223010387582E-2</v>
      </c>
      <c r="W557" s="23">
        <f t="shared" si="64"/>
        <v>3.4672189050957147E-3</v>
      </c>
      <c r="X557" s="24">
        <v>3.6911859735686781E-2</v>
      </c>
      <c r="Y557" s="24">
        <f t="shared" si="65"/>
        <v>4.2397455851869381E-2</v>
      </c>
      <c r="Z557" s="23">
        <f t="shared" si="66"/>
        <v>3.4657707873633203E-3</v>
      </c>
      <c r="AA557" s="36"/>
    </row>
    <row r="558" spans="4:27" ht="13.9" customHeight="1">
      <c r="D558" s="8"/>
      <c r="E558" s="9"/>
      <c r="F558" s="19"/>
      <c r="G558" s="19"/>
      <c r="H558" s="19"/>
      <c r="J558" s="45"/>
      <c r="K558" s="45"/>
      <c r="L558" s="45"/>
      <c r="M558" s="43"/>
      <c r="O558" s="12">
        <f t="shared" si="60"/>
        <v>45.416666666666664</v>
      </c>
      <c r="P558" s="13">
        <v>545</v>
      </c>
      <c r="Q558" s="22">
        <v>2.7713456254634838E-2</v>
      </c>
      <c r="R558" s="19">
        <f t="shared" si="61"/>
        <v>2.3905868304847422E-2</v>
      </c>
      <c r="S558" s="22">
        <v>3.4752703448928113E-2</v>
      </c>
      <c r="T558" s="19">
        <f t="shared" si="62"/>
        <v>4.2342084792950763E-2</v>
      </c>
      <c r="U558" s="24">
        <v>3.7469418013628575E-2</v>
      </c>
      <c r="V558" s="24">
        <f t="shared" si="63"/>
        <v>4.2421091475738804E-2</v>
      </c>
      <c r="W558" s="23">
        <f t="shared" si="64"/>
        <v>3.4676944665035236E-3</v>
      </c>
      <c r="X558" s="24">
        <v>3.6921898567417788E-2</v>
      </c>
      <c r="Y558" s="24">
        <f t="shared" si="65"/>
        <v>4.2403604873239464E-2</v>
      </c>
      <c r="Z558" s="23">
        <f t="shared" si="66"/>
        <v>3.4662691780260602E-3</v>
      </c>
      <c r="AA558" s="36"/>
    </row>
    <row r="559" spans="4:27" ht="13.9" customHeight="1">
      <c r="D559" s="8"/>
      <c r="E559" s="9"/>
      <c r="F559" s="19"/>
      <c r="G559" s="19"/>
      <c r="H559" s="19"/>
      <c r="J559" s="45"/>
      <c r="K559" s="45"/>
      <c r="L559" s="45"/>
      <c r="M559" s="43"/>
      <c r="O559" s="12">
        <f t="shared" si="60"/>
        <v>45.5</v>
      </c>
      <c r="P559" s="13">
        <v>546</v>
      </c>
      <c r="Q559" s="22">
        <v>2.770646972378743E-2</v>
      </c>
      <c r="R559" s="19">
        <f t="shared" si="61"/>
        <v>2.3923355085312403E-2</v>
      </c>
      <c r="S559" s="22">
        <v>3.4766552780758353E-2</v>
      </c>
      <c r="T559" s="19">
        <f t="shared" si="62"/>
        <v>4.234916687000001E-2</v>
      </c>
      <c r="U559" s="24">
        <v>3.7478465478280043E-2</v>
      </c>
      <c r="V559" s="24">
        <f t="shared" si="63"/>
        <v>4.2426900797730038E-2</v>
      </c>
      <c r="W559" s="23">
        <f t="shared" si="64"/>
        <v>3.4681652322208212E-3</v>
      </c>
      <c r="X559" s="24">
        <v>3.6931911926390226E-2</v>
      </c>
      <c r="Y559" s="24">
        <f t="shared" si="65"/>
        <v>4.2409690872388328E-2</v>
      </c>
      <c r="Z559" s="23">
        <f t="shared" si="66"/>
        <v>3.4667624574700184E-3</v>
      </c>
      <c r="AA559" s="36"/>
    </row>
    <row r="560" spans="4:27" ht="13.9" customHeight="1">
      <c r="D560" s="8"/>
      <c r="E560" s="9"/>
      <c r="F560" s="19"/>
      <c r="G560" s="19"/>
      <c r="H560" s="19"/>
      <c r="J560" s="45"/>
      <c r="K560" s="45"/>
      <c r="L560" s="45"/>
      <c r="M560" s="43"/>
      <c r="O560" s="12">
        <f t="shared" si="60"/>
        <v>45.583333333333336</v>
      </c>
      <c r="P560" s="13">
        <v>547</v>
      </c>
      <c r="Q560" s="22">
        <v>2.7699540871769734E-2</v>
      </c>
      <c r="R560" s="19">
        <f t="shared" si="61"/>
        <v>2.3941024573623126E-2</v>
      </c>
      <c r="S560" s="22">
        <v>3.4780364512679851E-2</v>
      </c>
      <c r="T560" s="19">
        <f t="shared" si="62"/>
        <v>4.2356172373548384E-2</v>
      </c>
      <c r="U560" s="24">
        <v>3.7487490511129096E-2</v>
      </c>
      <c r="V560" s="24">
        <f t="shared" si="63"/>
        <v>4.2432651577173131E-2</v>
      </c>
      <c r="W560" s="23">
        <f t="shared" si="64"/>
        <v>3.4686312510907591E-3</v>
      </c>
      <c r="X560" s="24">
        <v>3.694189983742735E-2</v>
      </c>
      <c r="Y560" s="24">
        <f t="shared" si="65"/>
        <v>4.2415714500752433E-2</v>
      </c>
      <c r="Z560" s="23">
        <f t="shared" si="66"/>
        <v>3.4672506785944357E-3</v>
      </c>
      <c r="AA560" s="36"/>
    </row>
    <row r="561" spans="4:27" ht="13.9" customHeight="1">
      <c r="D561" s="8"/>
      <c r="E561" s="9"/>
      <c r="F561" s="19"/>
      <c r="G561" s="19"/>
      <c r="H561" s="19"/>
      <c r="J561" s="45"/>
      <c r="K561" s="45"/>
      <c r="L561" s="45"/>
      <c r="M561" s="43"/>
      <c r="O561" s="12">
        <f t="shared" si="60"/>
        <v>45.666666666666664</v>
      </c>
      <c r="P561" s="13">
        <v>548</v>
      </c>
      <c r="Q561" s="22">
        <v>2.769266971600115E-2</v>
      </c>
      <c r="R561" s="19">
        <f t="shared" si="61"/>
        <v>2.3958876505844273E-2</v>
      </c>
      <c r="S561" s="22">
        <v>3.479413871123227E-2</v>
      </c>
      <c r="T561" s="19">
        <f t="shared" si="62"/>
        <v>4.2363102138985198E-2</v>
      </c>
      <c r="U561" s="24">
        <v>3.7496493128441388E-2</v>
      </c>
      <c r="V561" s="24">
        <f t="shared" si="63"/>
        <v>4.2438344408985529E-2</v>
      </c>
      <c r="W561" s="23">
        <f t="shared" si="64"/>
        <v>3.4690925713827259E-3</v>
      </c>
      <c r="X561" s="24">
        <v>3.6951862326352725E-2</v>
      </c>
      <c r="Y561" s="24">
        <f t="shared" si="65"/>
        <v>4.2421676403065156E-2</v>
      </c>
      <c r="Z561" s="23">
        <f t="shared" si="66"/>
        <v>3.467733893738334E-3</v>
      </c>
      <c r="AA561" s="36"/>
    </row>
    <row r="562" spans="4:27" ht="13.9" customHeight="1">
      <c r="D562" s="8"/>
      <c r="E562" s="9"/>
      <c r="F562" s="19"/>
      <c r="G562" s="19"/>
      <c r="H562" s="19"/>
      <c r="J562" s="45"/>
      <c r="K562" s="45"/>
      <c r="L562" s="45"/>
      <c r="M562" s="43"/>
      <c r="O562" s="12">
        <f t="shared" si="60"/>
        <v>45.75</v>
      </c>
      <c r="P562" s="13">
        <v>549</v>
      </c>
      <c r="Q562" s="22">
        <v>2.7685856273274911E-2</v>
      </c>
      <c r="R562" s="19">
        <f t="shared" si="61"/>
        <v>2.3976911826738334E-2</v>
      </c>
      <c r="S562" s="22">
        <v>3.4807875443980674E-2</v>
      </c>
      <c r="T562" s="19">
        <f t="shared" si="62"/>
        <v>4.2369956992160729E-2</v>
      </c>
      <c r="U562" s="24">
        <v>3.7505473347442031E-2</v>
      </c>
      <c r="V562" s="24">
        <f t="shared" si="63"/>
        <v>4.2443979881859661E-2</v>
      </c>
      <c r="W562" s="23">
        <f t="shared" si="64"/>
        <v>3.4695492408907125E-3</v>
      </c>
      <c r="X562" s="24">
        <v>3.6961799419969799E-2</v>
      </c>
      <c r="Y562" s="24">
        <f t="shared" si="65"/>
        <v>4.2427577216891388E-2</v>
      </c>
      <c r="Z562" s="23">
        <f t="shared" si="66"/>
        <v>3.4682121547013889E-3</v>
      </c>
      <c r="AA562" s="36"/>
    </row>
    <row r="563" spans="4:27" ht="13.9" customHeight="1">
      <c r="D563" s="8"/>
      <c r="E563" s="9"/>
      <c r="F563" s="19"/>
      <c r="G563" s="19"/>
      <c r="H563" s="19"/>
      <c r="J563" s="45"/>
      <c r="K563" s="45"/>
      <c r="L563" s="45"/>
      <c r="M563" s="43"/>
      <c r="O563" s="12">
        <f t="shared" si="60"/>
        <v>45.833333333333336</v>
      </c>
      <c r="P563" s="13">
        <v>550</v>
      </c>
      <c r="Q563" s="22">
        <v>2.7679100561969427E-2</v>
      </c>
      <c r="R563" s="19">
        <f t="shared" si="61"/>
        <v>2.3995131496051592E-2</v>
      </c>
      <c r="S563" s="22">
        <v>3.4821574779489106E-2</v>
      </c>
      <c r="T563" s="19">
        <f t="shared" si="62"/>
        <v>4.2376737749819204E-2</v>
      </c>
      <c r="U563" s="24">
        <v>3.7514431186295827E-2</v>
      </c>
      <c r="V563" s="24">
        <f t="shared" si="63"/>
        <v>4.2449558578280477E-2</v>
      </c>
      <c r="W563" s="23">
        <f t="shared" si="64"/>
        <v>3.4700013069084434E-3</v>
      </c>
      <c r="X563" s="24">
        <v>3.6971711146039477E-2</v>
      </c>
      <c r="Y563" s="24">
        <f t="shared" si="65"/>
        <v>4.2433417573401799E-2</v>
      </c>
      <c r="Z563" s="23">
        <f t="shared" si="66"/>
        <v>3.4686855127059602E-3</v>
      </c>
      <c r="AA563" s="36"/>
    </row>
    <row r="564" spans="4:27" ht="13.9" customHeight="1">
      <c r="D564" s="8"/>
      <c r="E564" s="9"/>
      <c r="F564" s="19"/>
      <c r="G564" s="19"/>
      <c r="H564" s="19"/>
      <c r="J564" s="45"/>
      <c r="K564" s="45"/>
      <c r="L564" s="45"/>
      <c r="M564" s="43"/>
      <c r="O564" s="12">
        <f t="shared" si="60"/>
        <v>45.916666666666664</v>
      </c>
      <c r="P564" s="13">
        <v>551</v>
      </c>
      <c r="Q564" s="22">
        <v>2.7672402602061164E-2</v>
      </c>
      <c r="R564" s="19">
        <f t="shared" si="61"/>
        <v>2.4013536488858067E-2</v>
      </c>
      <c r="S564" s="22">
        <v>3.483523678729461E-2</v>
      </c>
      <c r="T564" s="19">
        <f t="shared" si="62"/>
        <v>4.2383445219547733E-2</v>
      </c>
      <c r="U564" s="24">
        <v>3.7523366664087288E-2</v>
      </c>
      <c r="V564" s="24">
        <f t="shared" si="63"/>
        <v>4.2455081075469803E-2</v>
      </c>
      <c r="W564" s="23">
        <f t="shared" si="64"/>
        <v>3.4704488162295988E-3</v>
      </c>
      <c r="X564" s="24">
        <v>3.6981597533260357E-2</v>
      </c>
      <c r="Y564" s="24">
        <f t="shared" si="65"/>
        <v>4.2439198097044217E-2</v>
      </c>
      <c r="Z564" s="23">
        <f t="shared" si="66"/>
        <v>3.4691540184603742E-3</v>
      </c>
      <c r="AA564" s="36"/>
    </row>
    <row r="565" spans="4:27" ht="13.9" customHeight="1">
      <c r="D565" s="8"/>
      <c r="E565" s="9"/>
      <c r="F565" s="19"/>
      <c r="G565" s="19"/>
      <c r="H565" s="19"/>
      <c r="J565" s="45"/>
      <c r="K565" s="45"/>
      <c r="L565" s="45"/>
      <c r="M565" s="43"/>
      <c r="O565" s="12">
        <f t="shared" si="60"/>
        <v>46</v>
      </c>
      <c r="P565" s="13">
        <v>552</v>
      </c>
      <c r="Q565" s="22">
        <v>2.766576241513774E-2</v>
      </c>
      <c r="R565" s="19">
        <f t="shared" si="61"/>
        <v>2.4032126621648553E-2</v>
      </c>
      <c r="S565" s="22">
        <v>3.4848861537882803E-2</v>
      </c>
      <c r="T565" s="19">
        <f t="shared" si="62"/>
        <v>4.2390080200576108E-2</v>
      </c>
      <c r="U565" s="24">
        <v>3.753227980080287E-2</v>
      </c>
      <c r="V565" s="24">
        <f t="shared" si="63"/>
        <v>4.2460547943395044E-2</v>
      </c>
      <c r="W565" s="23">
        <f t="shared" si="64"/>
        <v>3.4708918152244195E-3</v>
      </c>
      <c r="X565" s="24">
        <v>3.6991458611247863E-2</v>
      </c>
      <c r="Y565" s="24">
        <f t="shared" si="65"/>
        <v>4.2444919406121384E-2</v>
      </c>
      <c r="Z565" s="23">
        <f t="shared" si="66"/>
        <v>3.4696177221311686E-3</v>
      </c>
      <c r="AA565" s="36"/>
    </row>
    <row r="566" spans="4:27" ht="13.9" customHeight="1">
      <c r="D566" s="8"/>
      <c r="E566" s="9"/>
      <c r="F566" s="19"/>
      <c r="G566" s="19"/>
      <c r="H566" s="19"/>
      <c r="J566" s="45"/>
      <c r="K566" s="45"/>
      <c r="L566" s="45"/>
      <c r="M566" s="43"/>
      <c r="O566" s="12">
        <f t="shared" si="60"/>
        <v>46.083333333333336</v>
      </c>
      <c r="P566" s="13">
        <v>553</v>
      </c>
      <c r="Q566" s="22">
        <v>2.7659180022280294E-2</v>
      </c>
      <c r="R566" s="19">
        <f t="shared" si="61"/>
        <v>2.4050898207554017E-2</v>
      </c>
      <c r="S566" s="22">
        <v>3.4862449102663673E-2</v>
      </c>
      <c r="T566" s="19">
        <f t="shared" si="62"/>
        <v>4.2396643482238927E-2</v>
      </c>
      <c r="U566" s="24">
        <v>3.7541170617310327E-2</v>
      </c>
      <c r="V566" s="24">
        <f t="shared" si="63"/>
        <v>4.2465959747334914E-2</v>
      </c>
      <c r="W566" s="23">
        <f t="shared" si="64"/>
        <v>3.4713303496791692E-3</v>
      </c>
      <c r="X566" s="24">
        <v>3.7001294410514918E-2</v>
      </c>
      <c r="Y566" s="24">
        <f t="shared" si="65"/>
        <v>4.2450582111292601E-2</v>
      </c>
      <c r="Z566" s="23">
        <f t="shared" si="66"/>
        <v>3.4700766733901656E-3</v>
      </c>
      <c r="AA566" s="36"/>
    </row>
    <row r="567" spans="4:27" ht="13.9" customHeight="1">
      <c r="D567" s="8"/>
      <c r="E567" s="9"/>
      <c r="F567" s="19"/>
      <c r="G567" s="19"/>
      <c r="H567" s="19"/>
      <c r="J567" s="45"/>
      <c r="K567" s="45"/>
      <c r="L567" s="45"/>
      <c r="M567" s="43"/>
      <c r="O567" s="12">
        <f t="shared" si="60"/>
        <v>46.166666666666664</v>
      </c>
      <c r="P567" s="13">
        <v>554</v>
      </c>
      <c r="Q567" s="22">
        <v>2.7652655437722107E-2</v>
      </c>
      <c r="R567" s="19">
        <f t="shared" si="61"/>
        <v>2.4069851101174544E-2</v>
      </c>
      <c r="S567" s="22">
        <v>3.4875999553945825E-2</v>
      </c>
      <c r="T567" s="19">
        <f t="shared" si="62"/>
        <v>4.2403135846121653E-2</v>
      </c>
      <c r="U567" s="24">
        <v>3.7550039135341162E-2</v>
      </c>
      <c r="V567" s="24">
        <f t="shared" si="63"/>
        <v>4.2471317046003376E-2</v>
      </c>
      <c r="W567" s="23">
        <f t="shared" si="64"/>
        <v>3.4717644650026358E-3</v>
      </c>
      <c r="X567" s="24">
        <v>3.7011104962450414E-2</v>
      </c>
      <c r="Y567" s="24">
        <f t="shared" si="65"/>
        <v>4.2456186818411012E-2</v>
      </c>
      <c r="Z567" s="23">
        <f t="shared" si="66"/>
        <v>3.470530921295012E-3</v>
      </c>
      <c r="AA567" s="36"/>
    </row>
    <row r="568" spans="4:27" ht="13.9" customHeight="1">
      <c r="D568" s="8"/>
      <c r="E568" s="9"/>
      <c r="F568" s="19"/>
      <c r="G568" s="19"/>
      <c r="H568" s="19"/>
      <c r="J568" s="45"/>
      <c r="K568" s="45"/>
      <c r="L568" s="45"/>
      <c r="M568" s="43"/>
      <c r="O568" s="12">
        <f t="shared" si="60"/>
        <v>46.25</v>
      </c>
      <c r="P568" s="13">
        <v>555</v>
      </c>
      <c r="Q568" s="22">
        <v>2.7646188675314765E-2</v>
      </c>
      <c r="R568" s="19">
        <f t="shared" si="61"/>
        <v>2.4088986348208552E-2</v>
      </c>
      <c r="S568" s="22">
        <v>3.4889512964914493E-2</v>
      </c>
      <c r="T568" s="19">
        <f t="shared" si="62"/>
        <v>4.2409558064507635E-2</v>
      </c>
      <c r="U568" s="24">
        <v>3.7558885377472206E-2</v>
      </c>
      <c r="V568" s="24">
        <f t="shared" si="63"/>
        <v>4.2476620392774E-2</v>
      </c>
      <c r="W568" s="23">
        <f t="shared" si="64"/>
        <v>3.4721942060760291E-3</v>
      </c>
      <c r="X568" s="24">
        <v>3.7020890299302334E-2</v>
      </c>
      <c r="Y568" s="24">
        <f t="shared" si="65"/>
        <v>4.2461734125838868E-2</v>
      </c>
      <c r="Z568" s="23">
        <f t="shared" si="66"/>
        <v>3.4709805145149986E-3</v>
      </c>
      <c r="AA568" s="36"/>
    </row>
    <row r="569" spans="4:27" ht="13.9" customHeight="1">
      <c r="D569" s="8"/>
      <c r="E569" s="9"/>
      <c r="F569" s="19"/>
      <c r="G569" s="19"/>
      <c r="H569" s="19"/>
      <c r="J569" s="45"/>
      <c r="K569" s="45"/>
      <c r="L569" s="45"/>
      <c r="M569" s="43"/>
      <c r="O569" s="12">
        <f t="shared" si="60"/>
        <v>46.333333333333336</v>
      </c>
      <c r="P569" s="13">
        <v>556</v>
      </c>
      <c r="Q569" s="22">
        <v>2.7639779750680438E-2</v>
      </c>
      <c r="R569" s="19">
        <f t="shared" si="61"/>
        <v>2.4108305008343933E-2</v>
      </c>
      <c r="S569" s="22">
        <v>3.4902989409607121E-2</v>
      </c>
      <c r="T569" s="19">
        <f t="shared" si="62"/>
        <v>4.2415910901406395E-2</v>
      </c>
      <c r="U569" s="24">
        <v>3.7567709367108071E-2</v>
      </c>
      <c r="V569" s="24">
        <f t="shared" si="63"/>
        <v>4.2481870335264293E-2</v>
      </c>
      <c r="W569" s="23">
        <f t="shared" si="64"/>
        <v>3.4726196173500146E-3</v>
      </c>
      <c r="X569" s="24">
        <v>3.7030650454156877E-2</v>
      </c>
      <c r="Y569" s="24">
        <f t="shared" si="65"/>
        <v>4.2467224625995614E-2</v>
      </c>
      <c r="Z569" s="23">
        <f t="shared" si="66"/>
        <v>3.4714255011181194E-3</v>
      </c>
      <c r="AA569" s="36"/>
    </row>
    <row r="570" spans="4:27" ht="13.9" customHeight="1">
      <c r="D570" s="8"/>
      <c r="E570" s="9"/>
      <c r="F570" s="19"/>
      <c r="G570" s="19"/>
      <c r="H570" s="19"/>
      <c r="J570" s="45"/>
      <c r="K570" s="45"/>
      <c r="L570" s="45"/>
      <c r="M570" s="43"/>
      <c r="O570" s="12">
        <f t="shared" si="60"/>
        <v>46.416666666666664</v>
      </c>
      <c r="P570" s="13">
        <v>557</v>
      </c>
      <c r="Q570" s="22">
        <v>2.7633428681221206E-2</v>
      </c>
      <c r="R570" s="19">
        <f t="shared" si="61"/>
        <v>2.4127808157375474E-2</v>
      </c>
      <c r="S570" s="22">
        <v>3.4916428962891155E-2</v>
      </c>
      <c r="T570" s="19">
        <f t="shared" si="62"/>
        <v>4.2422195112555183E-2</v>
      </c>
      <c r="U570" s="24">
        <v>3.7576511128463386E-2</v>
      </c>
      <c r="V570" s="24">
        <f t="shared" si="63"/>
        <v>4.2487067414955115E-2</v>
      </c>
      <c r="W570" s="23">
        <f t="shared" si="64"/>
        <v>3.4730407428120724E-3</v>
      </c>
      <c r="X570" s="24">
        <v>3.7040385460920255E-2</v>
      </c>
      <c r="Y570" s="24">
        <f t="shared" si="65"/>
        <v>4.2472658904950666E-2</v>
      </c>
      <c r="Z570" s="23">
        <f t="shared" si="66"/>
        <v>3.4718659286927522E-3</v>
      </c>
      <c r="AA570" s="36"/>
    </row>
    <row r="571" spans="4:27" ht="13.9" customHeight="1">
      <c r="D571" s="8"/>
      <c r="E571" s="9"/>
      <c r="F571" s="19"/>
      <c r="G571" s="19"/>
      <c r="H571" s="19"/>
      <c r="J571" s="45"/>
      <c r="K571" s="45"/>
      <c r="L571" s="45"/>
      <c r="M571" s="43"/>
      <c r="O571" s="12">
        <f t="shared" si="60"/>
        <v>46.5</v>
      </c>
      <c r="P571" s="13">
        <v>558</v>
      </c>
      <c r="Q571" s="22">
        <v>2.7627135486132159E-2</v>
      </c>
      <c r="R571" s="19">
        <f t="shared" si="61"/>
        <v>2.4147495730427515E-2</v>
      </c>
      <c r="S571" s="22">
        <v>3.4929831700441394E-2</v>
      </c>
      <c r="T571" s="19">
        <f t="shared" si="62"/>
        <v>4.2428411444633163E-2</v>
      </c>
      <c r="U571" s="24">
        <v>3.7585290686544592E-2</v>
      </c>
      <c r="V571" s="24">
        <f t="shared" si="63"/>
        <v>4.2492212168516064E-2</v>
      </c>
      <c r="W571" s="23">
        <f t="shared" si="64"/>
        <v>3.473457625956744E-3</v>
      </c>
      <c r="X571" s="24">
        <v>3.7050095354300261E-2</v>
      </c>
      <c r="Y571" s="24">
        <f t="shared" si="65"/>
        <v>4.2478037543012048E-2</v>
      </c>
      <c r="Z571" s="23">
        <f t="shared" si="66"/>
        <v>3.4723018443172382E-3</v>
      </c>
      <c r="AA571" s="36"/>
    </row>
    <row r="572" spans="4:27" ht="13.9" customHeight="1">
      <c r="D572" s="8"/>
      <c r="E572" s="9"/>
      <c r="F572" s="19"/>
      <c r="G572" s="19"/>
      <c r="H572" s="19"/>
      <c r="J572" s="45"/>
      <c r="K572" s="45"/>
      <c r="L572" s="45"/>
      <c r="M572" s="43"/>
      <c r="O572" s="12">
        <f t="shared" si="60"/>
        <v>46.583333333333336</v>
      </c>
      <c r="P572" s="13">
        <v>559</v>
      </c>
      <c r="Q572" s="22">
        <v>2.7620900184337049E-2</v>
      </c>
      <c r="R572" s="19">
        <f t="shared" si="61"/>
        <v>2.4167364214523257E-2</v>
      </c>
      <c r="S572" s="22">
        <v>3.4943197698717565E-2</v>
      </c>
      <c r="T572" s="19">
        <f t="shared" si="62"/>
        <v>4.2434560637068186E-2</v>
      </c>
      <c r="U572" s="24">
        <v>3.75940480671344E-2</v>
      </c>
      <c r="V572" s="24">
        <f t="shared" si="63"/>
        <v>4.2497305126608431E-2</v>
      </c>
      <c r="W572" s="23">
        <f t="shared" si="64"/>
        <v>3.4738703098906587E-3</v>
      </c>
      <c r="X572" s="24">
        <v>3.7059780169788503E-2</v>
      </c>
      <c r="Y572" s="24">
        <f t="shared" si="65"/>
        <v>4.2483361113976992E-2</v>
      </c>
      <c r="Z572" s="23">
        <f t="shared" si="66"/>
        <v>3.4727332946056233E-3</v>
      </c>
      <c r="AA572" s="36"/>
    </row>
    <row r="573" spans="4:27" ht="13.9" customHeight="1">
      <c r="D573" s="8"/>
      <c r="E573" s="9"/>
      <c r="F573" s="19"/>
      <c r="G573" s="19"/>
      <c r="H573" s="19"/>
      <c r="J573" s="45"/>
      <c r="K573" s="45"/>
      <c r="L573" s="45"/>
      <c r="M573" s="43"/>
      <c r="O573" s="12">
        <f t="shared" si="60"/>
        <v>46.666666666666664</v>
      </c>
      <c r="P573" s="13">
        <v>560</v>
      </c>
      <c r="Q573" s="22">
        <v>2.7614722788313006E-2</v>
      </c>
      <c r="R573" s="19">
        <f t="shared" si="61"/>
        <v>2.4187413584082273E-2</v>
      </c>
      <c r="S573" s="22">
        <v>3.4956527034943674E-2</v>
      </c>
      <c r="T573" s="19">
        <f t="shared" si="62"/>
        <v>4.2440643420252222E-2</v>
      </c>
      <c r="U573" s="24">
        <v>3.7602783296774245E-2</v>
      </c>
      <c r="V573" s="24">
        <f t="shared" si="63"/>
        <v>4.2502346814520475E-2</v>
      </c>
      <c r="W573" s="23">
        <f t="shared" si="64"/>
        <v>3.4742788372370548E-3</v>
      </c>
      <c r="X573" s="24">
        <v>3.7069439943642202E-2</v>
      </c>
      <c r="Y573" s="24">
        <f t="shared" si="65"/>
        <v>4.2488630186258369E-2</v>
      </c>
      <c r="Z573" s="23">
        <f t="shared" si="66"/>
        <v>3.4731603256485943E-3</v>
      </c>
      <c r="AA573" s="36"/>
    </row>
    <row r="574" spans="4:27" ht="13.9" customHeight="1">
      <c r="D574" s="8"/>
      <c r="E574" s="9"/>
      <c r="F574" s="19"/>
      <c r="G574" s="19"/>
      <c r="H574" s="19"/>
      <c r="J574" s="45"/>
      <c r="K574" s="45"/>
      <c r="L574" s="45"/>
      <c r="M574" s="43"/>
      <c r="O574" s="12">
        <f t="shared" si="60"/>
        <v>46.75</v>
      </c>
      <c r="P574" s="13">
        <v>561</v>
      </c>
      <c r="Q574" s="22">
        <v>2.7608603310385504E-2</v>
      </c>
      <c r="R574" s="19">
        <f t="shared" si="61"/>
        <v>2.4207644983881949E-2</v>
      </c>
      <c r="S574" s="22">
        <v>3.4969819787085799E-2</v>
      </c>
      <c r="T574" s="19">
        <f t="shared" si="62"/>
        <v>4.2446660517147849E-2</v>
      </c>
      <c r="U574" s="24">
        <v>3.7611496402747857E-2</v>
      </c>
      <c r="V574" s="24">
        <f t="shared" si="63"/>
        <v>4.2507337752153873E-2</v>
      </c>
      <c r="W574" s="23">
        <f t="shared" si="64"/>
        <v>3.4746832501870717E-3</v>
      </c>
      <c r="X574" s="24">
        <v>3.7079074712867532E-2</v>
      </c>
      <c r="Y574" s="24">
        <f t="shared" si="65"/>
        <v>4.249384532124667E-2</v>
      </c>
      <c r="Z574" s="23">
        <f t="shared" si="66"/>
        <v>3.473582983103185E-3</v>
      </c>
      <c r="AA574" s="36"/>
    </row>
    <row r="575" spans="4:27" ht="13.9" customHeight="1">
      <c r="D575" s="8"/>
      <c r="E575" s="9"/>
      <c r="F575" s="19"/>
      <c r="G575" s="19"/>
      <c r="H575" s="19"/>
      <c r="J575" s="45"/>
      <c r="K575" s="45"/>
      <c r="L575" s="45"/>
      <c r="M575" s="43"/>
      <c r="O575" s="12">
        <f t="shared" si="60"/>
        <v>46.833333333333336</v>
      </c>
      <c r="P575" s="13">
        <v>562</v>
      </c>
      <c r="Q575" s="22">
        <v>2.7602541764819133E-2</v>
      </c>
      <c r="R575" s="19">
        <f t="shared" si="61"/>
        <v>2.4228059574540994E-2</v>
      </c>
      <c r="S575" s="22">
        <v>3.4983076033832106E-2</v>
      </c>
      <c r="T575" s="19">
        <f t="shared" si="62"/>
        <v>4.2452612642056131E-2</v>
      </c>
      <c r="U575" s="24">
        <v>3.7620187413065276E-2</v>
      </c>
      <c r="V575" s="24">
        <f t="shared" si="63"/>
        <v>4.2512278453992636E-2</v>
      </c>
      <c r="W575" s="23">
        <f t="shared" si="64"/>
        <v>3.4750835904986399E-3</v>
      </c>
      <c r="X575" s="24">
        <v>3.7088684515200754E-2</v>
      </c>
      <c r="Y575" s="24">
        <f t="shared" si="65"/>
        <v>4.2499007075485151E-2</v>
      </c>
      <c r="Z575" s="23">
        <f t="shared" si="66"/>
        <v>3.4740013120615476E-3</v>
      </c>
      <c r="AA575" s="36"/>
    </row>
    <row r="576" spans="4:27" ht="13.9" customHeight="1">
      <c r="D576" s="8"/>
      <c r="E576" s="9"/>
      <c r="F576" s="19"/>
      <c r="G576" s="19"/>
      <c r="H576" s="19"/>
      <c r="J576" s="45"/>
      <c r="K576" s="45"/>
      <c r="L576" s="45"/>
      <c r="M576" s="43"/>
      <c r="O576" s="12">
        <f t="shared" si="60"/>
        <v>46.916666666666664</v>
      </c>
      <c r="P576" s="13">
        <v>563</v>
      </c>
      <c r="Q576" s="22">
        <v>2.7596538167828255E-2</v>
      </c>
      <c r="R576" s="19">
        <f t="shared" si="61"/>
        <v>2.4248658531781819E-2</v>
      </c>
      <c r="S576" s="22">
        <v>3.4996295854571313E-2</v>
      </c>
      <c r="T576" s="19">
        <f t="shared" si="62"/>
        <v>4.245850050200084E-2</v>
      </c>
      <c r="U576" s="24">
        <v>3.762885635644686E-2</v>
      </c>
      <c r="V576" s="24">
        <f t="shared" si="63"/>
        <v>4.25171694295714E-2</v>
      </c>
      <c r="W576" s="23">
        <f t="shared" si="64"/>
        <v>3.4754798994933722E-3</v>
      </c>
      <c r="X576" s="24">
        <v>3.7098269389093108E-2</v>
      </c>
      <c r="Y576" s="24">
        <f t="shared" si="65"/>
        <v>4.250411599921522E-2</v>
      </c>
      <c r="Z576" s="23">
        <f t="shared" si="66"/>
        <v>3.4744153572257019E-3</v>
      </c>
      <c r="AA576" s="36"/>
    </row>
    <row r="577" spans="4:27" ht="13.9" customHeight="1">
      <c r="D577" s="8"/>
      <c r="E577" s="9"/>
      <c r="F577" s="19"/>
      <c r="G577" s="19"/>
      <c r="H577" s="19"/>
      <c r="J577" s="45"/>
      <c r="K577" s="45"/>
      <c r="L577" s="45"/>
      <c r="M577" s="43"/>
      <c r="O577" s="12">
        <f t="shared" si="60"/>
        <v>47</v>
      </c>
      <c r="P577" s="13">
        <v>564</v>
      </c>
      <c r="Q577" s="22">
        <v>2.7590592537586556E-2</v>
      </c>
      <c r="R577" s="19">
        <f t="shared" si="61"/>
        <v>2.4269441909315015E-2</v>
      </c>
      <c r="S577" s="22">
        <v>3.5009479329373594E-2</v>
      </c>
      <c r="T577" s="19">
        <f t="shared" si="62"/>
        <v>4.2464324796162245E-2</v>
      </c>
      <c r="U577" s="24">
        <v>3.7637503262307748E-2</v>
      </c>
      <c r="V577" s="24">
        <f t="shared" si="63"/>
        <v>4.2522011182847042E-2</v>
      </c>
      <c r="W577" s="23">
        <f t="shared" si="64"/>
        <v>3.4758722180951995E-3</v>
      </c>
      <c r="X577" s="24">
        <v>3.7107829373693502E-2</v>
      </c>
      <c r="Y577" s="24">
        <f t="shared" si="65"/>
        <v>4.2509172637318571E-2</v>
      </c>
      <c r="Z577" s="23">
        <f t="shared" si="66"/>
        <v>3.4748251627909621E-3</v>
      </c>
      <c r="AA577" s="36"/>
    </row>
    <row r="578" spans="4:27" ht="13.9" customHeight="1">
      <c r="D578" s="8"/>
      <c r="E578" s="9"/>
      <c r="F578" s="19"/>
      <c r="G578" s="19"/>
      <c r="H578" s="19"/>
      <c r="J578" s="45"/>
      <c r="K578" s="45"/>
      <c r="L578" s="45"/>
      <c r="M578" s="43"/>
      <c r="O578" s="12">
        <f t="shared" si="60"/>
        <v>47.083333333333336</v>
      </c>
      <c r="P578" s="13">
        <v>565</v>
      </c>
      <c r="Q578" s="22">
        <v>2.7584704892216427E-2</v>
      </c>
      <c r="R578" s="19">
        <f t="shared" si="61"/>
        <v>2.4290406367865724E-2</v>
      </c>
      <c r="S578" s="22">
        <v>3.5022626538971036E-2</v>
      </c>
      <c r="T578" s="19">
        <f t="shared" si="62"/>
        <v>4.2470086215529834E-2</v>
      </c>
      <c r="U578" s="24">
        <v>3.7646128160742753E-2</v>
      </c>
      <c r="V578" s="24">
        <f t="shared" si="63"/>
        <v>4.2526804212306812E-2</v>
      </c>
      <c r="W578" s="23">
        <f t="shared" si="64"/>
        <v>3.4762605867788565E-3</v>
      </c>
      <c r="X578" s="24">
        <v>3.711736450883274E-2</v>
      </c>
      <c r="Y578" s="24">
        <f t="shared" si="65"/>
        <v>4.2514177528273134E-2</v>
      </c>
      <c r="Z578" s="23">
        <f t="shared" si="66"/>
        <v>3.4752307725209874E-3</v>
      </c>
      <c r="AA578" s="36"/>
    </row>
    <row r="579" spans="4:27" ht="13.9" customHeight="1">
      <c r="D579" s="8"/>
      <c r="E579" s="9"/>
      <c r="F579" s="19"/>
      <c r="G579" s="19"/>
      <c r="H579" s="19"/>
      <c r="J579" s="45"/>
      <c r="K579" s="45"/>
      <c r="L579" s="45"/>
      <c r="M579" s="43"/>
      <c r="O579" s="12">
        <f t="shared" si="60"/>
        <v>47.166666666666664</v>
      </c>
      <c r="P579" s="13">
        <v>566</v>
      </c>
      <c r="Q579" s="22">
        <v>2.7578875243776446E-2</v>
      </c>
      <c r="R579" s="19">
        <f t="shared" si="61"/>
        <v>2.4311551999763648E-2</v>
      </c>
      <c r="S579" s="22">
        <v>3.5035737564737213E-2</v>
      </c>
      <c r="T579" s="19">
        <f t="shared" si="62"/>
        <v>4.2475785443756076E-2</v>
      </c>
      <c r="U579" s="24">
        <v>3.7654731082510384E-2</v>
      </c>
      <c r="V579" s="24">
        <f t="shared" si="63"/>
        <v>4.2531549011995962E-2</v>
      </c>
      <c r="W579" s="23">
        <f t="shared" si="64"/>
        <v>3.4766450455794295E-3</v>
      </c>
      <c r="X579" s="24">
        <v>3.7126874835006207E-2</v>
      </c>
      <c r="Y579" s="24">
        <f t="shared" si="65"/>
        <v>4.2519131205588145E-2</v>
      </c>
      <c r="Z579" s="23">
        <f t="shared" si="66"/>
        <v>3.4756322296645159E-3</v>
      </c>
      <c r="AA579" s="36"/>
    </row>
    <row r="580" spans="4:27" ht="13.9" customHeight="1">
      <c r="D580" s="8"/>
      <c r="E580" s="9"/>
      <c r="F580" s="19"/>
      <c r="G580" s="19"/>
      <c r="H580" s="19"/>
      <c r="J580" s="45"/>
      <c r="K580" s="45"/>
      <c r="L580" s="45"/>
      <c r="M580" s="43"/>
      <c r="O580" s="12">
        <f t="shared" si="60"/>
        <v>47.25</v>
      </c>
      <c r="P580" s="13">
        <v>567</v>
      </c>
      <c r="Q580" s="22">
        <v>2.7573103604385807E-2</v>
      </c>
      <c r="R580" s="19">
        <f t="shared" si="61"/>
        <v>2.4332880050492722E-2</v>
      </c>
      <c r="S580" s="22">
        <v>3.5048812488668757E-2</v>
      </c>
      <c r="T580" s="19">
        <f t="shared" si="62"/>
        <v>4.2481423157009646E-2</v>
      </c>
      <c r="U580" s="24">
        <v>3.766331205901885E-2</v>
      </c>
      <c r="V580" s="24">
        <f t="shared" si="63"/>
        <v>4.2536246070910444E-2</v>
      </c>
      <c r="W580" s="23">
        <f t="shared" si="64"/>
        <v>3.4770256341745132E-3</v>
      </c>
      <c r="X580" s="24">
        <v>3.7136360393359658E-2</v>
      </c>
      <c r="Y580" s="24">
        <f t="shared" si="65"/>
        <v>4.2524034197106042E-2</v>
      </c>
      <c r="Z580" s="23">
        <f t="shared" si="66"/>
        <v>3.4760295770703831E-3</v>
      </c>
      <c r="AA580" s="36"/>
    </row>
    <row r="581" spans="4:27" ht="13.9" customHeight="1">
      <c r="D581" s="8"/>
      <c r="E581" s="9"/>
      <c r="F581" s="19"/>
      <c r="G581" s="19"/>
      <c r="H581" s="19"/>
      <c r="J581" s="45"/>
      <c r="K581" s="45"/>
      <c r="L581" s="45"/>
      <c r="M581" s="43"/>
      <c r="O581" s="12">
        <f t="shared" si="60"/>
        <v>47.333333333333336</v>
      </c>
      <c r="P581" s="13">
        <v>568</v>
      </c>
      <c r="Q581" s="22">
        <v>2.7567389988261137E-2</v>
      </c>
      <c r="R581" s="19">
        <f t="shared" si="61"/>
        <v>2.4354391780942786E-2</v>
      </c>
      <c r="S581" s="22">
        <v>3.5061851393367149E-2</v>
      </c>
      <c r="T581" s="19">
        <f t="shared" si="62"/>
        <v>4.2487000024213906E-2</v>
      </c>
      <c r="U581" s="24">
        <v>3.7671871122311851E-2</v>
      </c>
      <c r="V581" s="24">
        <f t="shared" si="63"/>
        <v>4.2540895871798323E-2</v>
      </c>
      <c r="W581" s="23">
        <f t="shared" si="64"/>
        <v>3.4774023918355823E-3</v>
      </c>
      <c r="X581" s="24">
        <v>3.7145821225673226E-2</v>
      </c>
      <c r="Y581" s="24">
        <f t="shared" si="65"/>
        <v>4.252888702465607E-2</v>
      </c>
      <c r="Z581" s="23">
        <f t="shared" si="66"/>
        <v>3.476422857132011E-3</v>
      </c>
      <c r="AA581" s="36"/>
    </row>
    <row r="582" spans="4:27" ht="13.9" customHeight="1">
      <c r="D582" s="8"/>
      <c r="E582" s="9"/>
      <c r="F582" s="19"/>
      <c r="G582" s="19"/>
      <c r="H582" s="19"/>
      <c r="J582" s="45"/>
      <c r="K582" s="45"/>
      <c r="L582" s="45"/>
      <c r="M582" s="43"/>
      <c r="O582" s="12">
        <f t="shared" si="60"/>
        <v>47.416666666666664</v>
      </c>
      <c r="P582" s="13">
        <v>569</v>
      </c>
      <c r="Q582" s="22">
        <v>2.7561734411724492E-2</v>
      </c>
      <c r="R582" s="19">
        <f t="shared" si="61"/>
        <v>2.4376088468292423E-2</v>
      </c>
      <c r="S582" s="22">
        <v>3.5074854362020291E-2</v>
      </c>
      <c r="T582" s="19">
        <f t="shared" si="62"/>
        <v>4.2492516706263972E-2</v>
      </c>
      <c r="U582" s="24">
        <v>3.7680408305052371E-2</v>
      </c>
      <c r="V582" s="24">
        <f t="shared" si="63"/>
        <v>4.2545498894234646E-2</v>
      </c>
      <c r="W582" s="23">
        <f t="shared" si="64"/>
        <v>3.477775357331625E-3</v>
      </c>
      <c r="X582" s="24">
        <v>3.7155257374345441E-2</v>
      </c>
      <c r="Y582" s="24">
        <f t="shared" si="65"/>
        <v>4.2533690205199148E-2</v>
      </c>
      <c r="Z582" s="23">
        <f t="shared" si="66"/>
        <v>3.4768121117583206E-3</v>
      </c>
      <c r="AA582" s="36"/>
    </row>
    <row r="583" spans="4:27" ht="13.9" customHeight="1">
      <c r="D583" s="8"/>
      <c r="E583" s="9"/>
      <c r="F583" s="19"/>
      <c r="G583" s="19"/>
      <c r="H583" s="19"/>
      <c r="J583" s="45"/>
      <c r="K583" s="45"/>
      <c r="L583" s="45"/>
      <c r="M583" s="43"/>
      <c r="O583" s="12">
        <f t="shared" si="60"/>
        <v>47.5</v>
      </c>
      <c r="P583" s="13">
        <v>570</v>
      </c>
      <c r="Q583" s="22">
        <v>2.7556136893213345E-2</v>
      </c>
      <c r="R583" s="19">
        <f t="shared" si="61"/>
        <v>2.4397970284043335E-2</v>
      </c>
      <c r="S583" s="22">
        <v>3.508782147838363E-2</v>
      </c>
      <c r="T583" s="19">
        <f t="shared" si="62"/>
        <v>4.2497973857219762E-2</v>
      </c>
      <c r="U583" s="24">
        <v>3.7688923640510907E-2</v>
      </c>
      <c r="V583" s="24">
        <f t="shared" si="63"/>
        <v>4.2550055611497717E-2</v>
      </c>
      <c r="W583" s="23">
        <f t="shared" si="64"/>
        <v>3.478144569176278E-3</v>
      </c>
      <c r="X583" s="24">
        <v>3.7164668882379459E-2</v>
      </c>
      <c r="Y583" s="24">
        <f t="shared" si="65"/>
        <v>4.2538444249714091E-2</v>
      </c>
      <c r="Z583" s="23">
        <f t="shared" si="66"/>
        <v>3.477197382467434E-3</v>
      </c>
      <c r="AA583" s="36"/>
    </row>
    <row r="584" spans="4:27" ht="13.9" customHeight="1">
      <c r="D584" s="8"/>
      <c r="E584" s="9"/>
      <c r="F584" s="19"/>
      <c r="G584" s="19"/>
      <c r="H584" s="19"/>
      <c r="J584" s="45"/>
      <c r="K584" s="45"/>
      <c r="L584" s="45"/>
      <c r="M584" s="43"/>
      <c r="O584" s="12">
        <f t="shared" si="60"/>
        <v>47.583333333333336</v>
      </c>
      <c r="P584" s="13">
        <v>571</v>
      </c>
      <c r="Q584" s="22">
        <v>2.7550597451319492E-2</v>
      </c>
      <c r="R584" s="19">
        <f t="shared" si="61"/>
        <v>2.4420034061921392E-2</v>
      </c>
      <c r="S584" s="22">
        <v>3.5100752826763504E-2</v>
      </c>
      <c r="T584" s="19">
        <f t="shared" si="62"/>
        <v>4.2503372124497174E-2</v>
      </c>
      <c r="U584" s="24">
        <v>3.7697417162549929E-2</v>
      </c>
      <c r="V584" s="24">
        <f t="shared" si="63"/>
        <v>4.2554566492456036E-2</v>
      </c>
      <c r="W584" s="23">
        <f t="shared" si="64"/>
        <v>3.4785100653769163E-3</v>
      </c>
      <c r="X584" s="24">
        <v>3.71740557933673E-2</v>
      </c>
      <c r="Y584" s="24">
        <f t="shared" si="65"/>
        <v>4.2543149665049906E-2</v>
      </c>
      <c r="Z584" s="23">
        <f t="shared" si="66"/>
        <v>3.4775787102956368E-3</v>
      </c>
      <c r="AA584" s="36"/>
    </row>
    <row r="585" spans="4:27" ht="13.9" customHeight="1">
      <c r="D585" s="8"/>
      <c r="E585" s="9"/>
      <c r="F585" s="19"/>
      <c r="G585" s="19"/>
      <c r="H585" s="19"/>
      <c r="J585" s="45"/>
      <c r="K585" s="45"/>
      <c r="L585" s="45"/>
      <c r="M585" s="43"/>
      <c r="O585" s="12">
        <f t="shared" si="60"/>
        <v>47.666666666666664</v>
      </c>
      <c r="P585" s="13">
        <v>572</v>
      </c>
      <c r="Q585" s="22">
        <v>2.7545116098934175E-2</v>
      </c>
      <c r="R585" s="19">
        <f t="shared" si="61"/>
        <v>2.4442280012494599E-2</v>
      </c>
      <c r="S585" s="22">
        <v>3.5113648492000493E-2</v>
      </c>
      <c r="T585" s="19">
        <f t="shared" si="62"/>
        <v>4.2508712146803518E-2</v>
      </c>
      <c r="U585" s="24">
        <v>3.7705888905610996E-2</v>
      </c>
      <c r="V585" s="24">
        <f t="shared" si="63"/>
        <v>4.2559032001565633E-2</v>
      </c>
      <c r="W585" s="23">
        <f t="shared" si="64"/>
        <v>3.4788718835858656E-3</v>
      </c>
      <c r="X585" s="24">
        <v>3.718341815147741E-2</v>
      </c>
      <c r="Y585" s="24">
        <f t="shared" si="65"/>
        <v>4.2547806951126477E-2</v>
      </c>
      <c r="Z585" s="23">
        <f t="shared" si="66"/>
        <v>3.4779561359472577E-3</v>
      </c>
      <c r="AA585" s="36"/>
    </row>
    <row r="586" spans="4:27" ht="13.9" customHeight="1">
      <c r="D586" s="8"/>
      <c r="E586" s="9"/>
      <c r="F586" s="19"/>
      <c r="G586" s="19"/>
      <c r="H586" s="19"/>
      <c r="J586" s="45"/>
      <c r="K586" s="45"/>
      <c r="L586" s="45"/>
      <c r="M586" s="43"/>
      <c r="O586" s="12">
        <f t="shared" si="60"/>
        <v>47.75</v>
      </c>
      <c r="P586" s="13">
        <v>573</v>
      </c>
      <c r="Q586" s="22">
        <v>2.7539692849209985E-2</v>
      </c>
      <c r="R586" s="19">
        <f t="shared" si="61"/>
        <v>2.4464709482861391E-2</v>
      </c>
      <c r="S586" s="22">
        <v>3.5126508559450098E-2</v>
      </c>
      <c r="T586" s="19">
        <f t="shared" si="62"/>
        <v>4.2513994557493051E-2</v>
      </c>
      <c r="U586" s="24">
        <v>3.7714338904701439E-2</v>
      </c>
      <c r="V586" s="24">
        <f t="shared" si="63"/>
        <v>4.2563452597831786E-2</v>
      </c>
      <c r="W586" s="23">
        <f t="shared" si="64"/>
        <v>3.4792300611008464E-3</v>
      </c>
      <c r="X586" s="24">
        <v>3.7192756001437788E-2</v>
      </c>
      <c r="Y586" s="24">
        <f t="shared" si="65"/>
        <v>4.2552416603653054E-2</v>
      </c>
      <c r="Z586" s="23">
        <f t="shared" si="66"/>
        <v>3.4783296995695157E-3</v>
      </c>
      <c r="AA586" s="36"/>
    </row>
    <row r="587" spans="4:27" ht="13.9" customHeight="1">
      <c r="D587" s="8"/>
      <c r="E587" s="9"/>
      <c r="F587" s="19"/>
      <c r="G587" s="19"/>
      <c r="H587" s="19"/>
      <c r="J587" s="45"/>
      <c r="K587" s="45"/>
      <c r="L587" s="45"/>
      <c r="M587" s="43"/>
      <c r="O587" s="12">
        <f t="shared" si="60"/>
        <v>47.833333333333336</v>
      </c>
      <c r="P587" s="13">
        <v>574</v>
      </c>
      <c r="Q587" s="22">
        <v>2.7534327717543938E-2</v>
      </c>
      <c r="R587" s="19">
        <f t="shared" si="61"/>
        <v>2.4487323835292951E-2</v>
      </c>
      <c r="S587" s="22">
        <v>3.5139333114968752E-2</v>
      </c>
      <c r="T587" s="19">
        <f t="shared" si="62"/>
        <v>4.2519219982056322E-2</v>
      </c>
      <c r="U587" s="24">
        <v>3.7722767195380591E-2</v>
      </c>
      <c r="V587" s="24">
        <f t="shared" si="63"/>
        <v>4.2567828735849522E-2</v>
      </c>
      <c r="W587" s="23">
        <f t="shared" si="64"/>
        <v>3.4795846347812631E-3</v>
      </c>
      <c r="X587" s="24">
        <v>3.7202069388523773E-2</v>
      </c>
      <c r="Y587" s="24">
        <f t="shared" si="65"/>
        <v>4.2556979113061555E-2</v>
      </c>
      <c r="Z587" s="23">
        <f t="shared" si="66"/>
        <v>3.4786994409707894E-3</v>
      </c>
      <c r="AA587" s="36"/>
    </row>
    <row r="588" spans="4:27" ht="13.9" customHeight="1">
      <c r="D588" s="8"/>
      <c r="E588" s="9"/>
      <c r="F588" s="19"/>
      <c r="G588" s="19"/>
      <c r="H588" s="19"/>
      <c r="J588" s="45"/>
      <c r="K588" s="45"/>
      <c r="L588" s="45"/>
      <c r="M588" s="43"/>
      <c r="O588" s="12">
        <f t="shared" si="60"/>
        <v>47.916666666666664</v>
      </c>
      <c r="P588" s="13">
        <v>575</v>
      </c>
      <c r="Q588" s="22">
        <v>2.7529020721584141E-2</v>
      </c>
      <c r="R588" s="19">
        <f t="shared" si="61"/>
        <v>2.4510124447514325E-2</v>
      </c>
      <c r="S588" s="22">
        <v>3.5152122244895834E-2</v>
      </c>
      <c r="T588" s="19">
        <f t="shared" si="62"/>
        <v>4.2524389039195087E-2</v>
      </c>
      <c r="U588" s="24">
        <v>3.7731173813747132E-2</v>
      </c>
      <c r="V588" s="24">
        <f t="shared" si="63"/>
        <v>4.2572160866061859E-2</v>
      </c>
      <c r="W588" s="23">
        <f t="shared" si="64"/>
        <v>3.4799356411316928E-3</v>
      </c>
      <c r="X588" s="24">
        <v>3.7211358358544055E-2</v>
      </c>
      <c r="Y588" s="24">
        <f t="shared" si="65"/>
        <v>4.2561494964590496E-2</v>
      </c>
      <c r="Z588" s="23">
        <f t="shared" si="66"/>
        <v>3.4790653995346865E-3</v>
      </c>
      <c r="AA588" s="36"/>
    </row>
    <row r="589" spans="4:27" ht="13.9" customHeight="1">
      <c r="D589" s="8"/>
      <c r="E589" s="9"/>
      <c r="F589" s="19"/>
      <c r="G589" s="19"/>
      <c r="H589" s="19"/>
      <c r="J589" s="45"/>
      <c r="K589" s="45"/>
      <c r="L589" s="45"/>
      <c r="M589" s="43"/>
      <c r="O589" s="12">
        <f t="shared" si="60"/>
        <v>48</v>
      </c>
      <c r="P589" s="13">
        <v>576</v>
      </c>
      <c r="Q589" s="22">
        <v>2.7523771881237336E-2</v>
      </c>
      <c r="R589" s="19">
        <f t="shared" si="61"/>
        <v>2.4533111611925396E-2</v>
      </c>
      <c r="S589" s="22">
        <v>3.5164876036038129E-2</v>
      </c>
      <c r="T589" s="19">
        <f t="shared" si="62"/>
        <v>4.2529502340918901E-2</v>
      </c>
      <c r="U589" s="24">
        <v>3.7739558796427319E-2</v>
      </c>
      <c r="V589" s="24">
        <f t="shared" si="63"/>
        <v>4.2576449433166186E-2</v>
      </c>
      <c r="W589" s="23">
        <f t="shared" si="64"/>
        <v>3.4802831163229797E-3</v>
      </c>
      <c r="X589" s="24">
        <v>3.7220622957827354E-2</v>
      </c>
      <c r="Y589" s="24">
        <f t="shared" si="65"/>
        <v>4.2565964638571652E-2</v>
      </c>
      <c r="Z589" s="23">
        <f t="shared" si="66"/>
        <v>3.4794276142280367E-3</v>
      </c>
      <c r="AA589" s="36"/>
    </row>
    <row r="590" spans="4:27" ht="13.9" customHeight="1">
      <c r="D590" s="8"/>
      <c r="E590" s="9"/>
      <c r="F590" s="19"/>
      <c r="G590" s="19"/>
      <c r="H590" s="19"/>
      <c r="J590" s="45"/>
      <c r="K590" s="45"/>
      <c r="L590" s="45"/>
      <c r="M590" s="43"/>
      <c r="O590" s="12">
        <f t="shared" ref="O590:O653" si="67">P590/12</f>
        <v>48.083333333333336</v>
      </c>
      <c r="P590" s="13">
        <v>577</v>
      </c>
      <c r="Q590" s="22">
        <v>2.7518581216761762E-2</v>
      </c>
      <c r="R590" s="19">
        <f t="shared" ref="R590:R653" si="68">(1+Q591)^P591/(1+Q590)^P590-1</f>
        <v>2.4556282332679036E-2</v>
      </c>
      <c r="S590" s="22">
        <v>3.5177594575654059E-2</v>
      </c>
      <c r="T590" s="19">
        <f t="shared" ref="T590:T653" si="69">(1+S591)^P591/(1+S590)^P590-1</f>
        <v>4.2534560492722528E-2</v>
      </c>
      <c r="U590" s="24">
        <v>3.7747922180560334E-2</v>
      </c>
      <c r="V590" s="24">
        <f t="shared" ref="V590:V653" si="70">(1+U591)^P591/(1+U590)^P590-1</f>
        <v>4.2580694878369352E-2</v>
      </c>
      <c r="W590" s="23">
        <f t="shared" si="64"/>
        <v>3.4806270960636709E-3</v>
      </c>
      <c r="X590" s="24">
        <v>3.7229863233209093E-2</v>
      </c>
      <c r="Y590" s="24">
        <f t="shared" si="65"/>
        <v>4.2570388609631138E-2</v>
      </c>
      <c r="Z590" s="23">
        <f t="shared" si="66"/>
        <v>3.4797861236217642E-3</v>
      </c>
      <c r="AA590" s="36"/>
    </row>
    <row r="591" spans="4:27" ht="13.9" customHeight="1">
      <c r="D591" s="8"/>
      <c r="E591" s="9"/>
      <c r="F591" s="19"/>
      <c r="G591" s="19"/>
      <c r="H591" s="19"/>
      <c r="J591" s="45"/>
      <c r="K591" s="45"/>
      <c r="L591" s="45"/>
      <c r="M591" s="43"/>
      <c r="O591" s="12">
        <f t="shared" si="67"/>
        <v>48.166666666666664</v>
      </c>
      <c r="P591" s="13">
        <v>578</v>
      </c>
      <c r="Q591" s="22">
        <v>2.7513448743059277E-2</v>
      </c>
      <c r="R591" s="19">
        <f t="shared" si="68"/>
        <v>2.4579636940631033E-2</v>
      </c>
      <c r="S591" s="22">
        <v>3.5190277951438587E-2</v>
      </c>
      <c r="T591" s="19">
        <f t="shared" si="69"/>
        <v>4.2539564092904047E-2</v>
      </c>
      <c r="U591" s="24">
        <v>3.7756264003788287E-2</v>
      </c>
      <c r="V591" s="24">
        <f t="shared" si="70"/>
        <v>4.2584897637715002E-2</v>
      </c>
      <c r="W591" s="23">
        <f t="shared" ref="W591:W654" si="71">(1+V590)^(1/12)-1</f>
        <v>3.4809676157816494E-3</v>
      </c>
      <c r="X591" s="24">
        <v>3.7239079232017636E-2</v>
      </c>
      <c r="Y591" s="24">
        <f t="shared" ref="Y591:Y654" si="72">(1+X592)^P592/(1+X591)^P591-1</f>
        <v>4.2574767348402043E-2</v>
      </c>
      <c r="Z591" s="23">
        <f t="shared" ref="Z591:Z654" si="73">(1+Y590)^(1/12)-1</f>
        <v>3.4801409658291593E-3</v>
      </c>
      <c r="AA591" s="36"/>
    </row>
    <row r="592" spans="4:27" ht="13.9" customHeight="1">
      <c r="D592" s="8"/>
      <c r="E592" s="9"/>
      <c r="F592" s="19"/>
      <c r="G592" s="19"/>
      <c r="H592" s="19"/>
      <c r="J592" s="45"/>
      <c r="K592" s="45"/>
      <c r="L592" s="45"/>
      <c r="M592" s="43"/>
      <c r="O592" s="12">
        <f t="shared" si="67"/>
        <v>48.25</v>
      </c>
      <c r="P592" s="13">
        <v>579</v>
      </c>
      <c r="Q592" s="22">
        <v>2.7508374475483377E-2</v>
      </c>
      <c r="R592" s="19">
        <f t="shared" si="68"/>
        <v>2.4603176884676836E-2</v>
      </c>
      <c r="S592" s="22">
        <v>3.5202926251507227E-2</v>
      </c>
      <c r="T592" s="19">
        <f t="shared" si="69"/>
        <v>4.2544513733757006E-2</v>
      </c>
      <c r="U592" s="24">
        <v>3.7764584304242454E-2</v>
      </c>
      <c r="V592" s="24">
        <f t="shared" si="70"/>
        <v>4.2589058143390313E-2</v>
      </c>
      <c r="W592" s="23">
        <f t="shared" si="71"/>
        <v>3.4813047104900186E-3</v>
      </c>
      <c r="X592" s="24">
        <v>3.7248271002062738E-2</v>
      </c>
      <c r="Y592" s="24">
        <f t="shared" si="72"/>
        <v>4.2579101320388002E-2</v>
      </c>
      <c r="Z592" s="23">
        <f t="shared" si="73"/>
        <v>3.4804921786415477E-3</v>
      </c>
      <c r="AA592" s="36"/>
    </row>
    <row r="593" spans="4:27" ht="13.9" customHeight="1">
      <c r="D593" s="8"/>
      <c r="E593" s="9"/>
      <c r="F593" s="19"/>
      <c r="G593" s="19"/>
      <c r="H593" s="19"/>
      <c r="J593" s="45"/>
      <c r="K593" s="45"/>
      <c r="L593" s="45"/>
      <c r="M593" s="43"/>
      <c r="O593" s="12">
        <f t="shared" si="67"/>
        <v>48.333333333333336</v>
      </c>
      <c r="P593" s="13">
        <v>580</v>
      </c>
      <c r="Q593" s="22">
        <v>2.7503358431768987E-2</v>
      </c>
      <c r="R593" s="19">
        <f t="shared" si="68"/>
        <v>2.4626903629473285E-2</v>
      </c>
      <c r="S593" s="22">
        <v>3.5215539564382281E-2</v>
      </c>
      <c r="T593" s="19">
        <f t="shared" si="69"/>
        <v>4.2549410000531473E-2</v>
      </c>
      <c r="U593" s="24">
        <v>3.7772883120532841E-2</v>
      </c>
      <c r="V593" s="24">
        <f t="shared" si="70"/>
        <v>4.2593176822370182E-2</v>
      </c>
      <c r="W593" s="23">
        <f t="shared" si="71"/>
        <v>3.4816384148912416E-3</v>
      </c>
      <c r="X593" s="24">
        <v>3.7257438591623115E-2</v>
      </c>
      <c r="Y593" s="24">
        <f t="shared" si="72"/>
        <v>4.2583390985477143E-2</v>
      </c>
      <c r="Z593" s="23">
        <f t="shared" si="73"/>
        <v>3.4808397994383622E-3</v>
      </c>
      <c r="AA593" s="36"/>
    </row>
    <row r="594" spans="4:27" ht="13.9" customHeight="1">
      <c r="D594" s="8"/>
      <c r="E594" s="9"/>
      <c r="F594" s="19"/>
      <c r="G594" s="19"/>
      <c r="H594" s="19"/>
      <c r="J594" s="45"/>
      <c r="K594" s="45"/>
      <c r="L594" s="45"/>
      <c r="M594" s="43"/>
      <c r="O594" s="12">
        <f t="shared" si="67"/>
        <v>48.416666666666664</v>
      </c>
      <c r="P594" s="13">
        <v>581</v>
      </c>
      <c r="Q594" s="22">
        <v>2.7498400632038456E-2</v>
      </c>
      <c r="R594" s="19">
        <f t="shared" si="68"/>
        <v>2.4650818656734685E-2</v>
      </c>
      <c r="S594" s="22">
        <v>3.5228117978977069E-2</v>
      </c>
      <c r="T594" s="19">
        <f t="shared" si="69"/>
        <v>4.2554253472663062E-2</v>
      </c>
      <c r="U594" s="24">
        <v>3.7781160491734855E-2</v>
      </c>
      <c r="V594" s="24">
        <f t="shared" si="70"/>
        <v>4.2597254097876736E-2</v>
      </c>
      <c r="W594" s="23">
        <f t="shared" si="71"/>
        <v>3.4819687632690055E-3</v>
      </c>
      <c r="X594" s="24">
        <v>3.7266582049432451E-2</v>
      </c>
      <c r="Y594" s="24">
        <f t="shared" si="72"/>
        <v>4.2587636799752415E-2</v>
      </c>
      <c r="Z594" s="23">
        <f t="shared" si="73"/>
        <v>3.4811838651469529E-3</v>
      </c>
      <c r="AA594" s="36"/>
    </row>
    <row r="595" spans="4:27" ht="13.9" customHeight="1">
      <c r="D595" s="8"/>
      <c r="E595" s="9"/>
      <c r="F595" s="19"/>
      <c r="G595" s="19"/>
      <c r="H595" s="19"/>
      <c r="J595" s="45"/>
      <c r="K595" s="45"/>
      <c r="L595" s="45"/>
      <c r="M595" s="43"/>
      <c r="O595" s="12">
        <f t="shared" si="67"/>
        <v>48.5</v>
      </c>
      <c r="P595" s="13">
        <v>582</v>
      </c>
      <c r="Q595" s="22">
        <v>2.7493501098809991E-2</v>
      </c>
      <c r="R595" s="19">
        <f t="shared" si="68"/>
        <v>2.4674922377427189E-2</v>
      </c>
      <c r="S595" s="22">
        <v>3.5240661584582833E-2</v>
      </c>
      <c r="T595" s="19">
        <f t="shared" si="69"/>
        <v>4.2559044722540573E-2</v>
      </c>
      <c r="U595" s="24">
        <v>3.7789416457379321E-2</v>
      </c>
      <c r="V595" s="24">
        <f t="shared" si="70"/>
        <v>4.2601290388388335E-2</v>
      </c>
      <c r="W595" s="23">
        <f t="shared" si="71"/>
        <v>3.4822957896050166E-3</v>
      </c>
      <c r="X595" s="24">
        <v>3.7275701424668961E-2</v>
      </c>
      <c r="Y595" s="24">
        <f t="shared" si="72"/>
        <v>4.2591839214195737E-2</v>
      </c>
      <c r="Z595" s="23">
        <f t="shared" si="73"/>
        <v>3.4815244123893585E-3</v>
      </c>
      <c r="AA595" s="36"/>
    </row>
    <row r="596" spans="4:27" ht="13.9" customHeight="1">
      <c r="D596" s="8"/>
      <c r="E596" s="9"/>
      <c r="F596" s="19"/>
      <c r="G596" s="19"/>
      <c r="H596" s="19"/>
      <c r="J596" s="45"/>
      <c r="K596" s="45"/>
      <c r="L596" s="45"/>
      <c r="M596" s="43"/>
      <c r="O596" s="12">
        <f t="shared" si="67"/>
        <v>48.583333333333336</v>
      </c>
      <c r="P596" s="13">
        <v>583</v>
      </c>
      <c r="Q596" s="22">
        <v>2.7488659855135378E-2</v>
      </c>
      <c r="R596" s="19">
        <f t="shared" si="68"/>
        <v>2.4699211968776336E-2</v>
      </c>
      <c r="S596" s="22">
        <v>3.5253170470853634E-2</v>
      </c>
      <c r="T596" s="19">
        <f t="shared" si="69"/>
        <v>4.2563784316829167E-2</v>
      </c>
      <c r="U596" s="24">
        <v>3.779765105744004E-2</v>
      </c>
      <c r="V596" s="24">
        <f t="shared" si="70"/>
        <v>4.2605286108702289E-2</v>
      </c>
      <c r="W596" s="23">
        <f t="shared" si="71"/>
        <v>3.4826195274997307E-3</v>
      </c>
      <c r="X596" s="24">
        <v>3.7284796766942963E-2</v>
      </c>
      <c r="Y596" s="24">
        <f t="shared" si="72"/>
        <v>4.2595998674904489E-2</v>
      </c>
      <c r="Z596" s="23">
        <f t="shared" si="73"/>
        <v>3.4818614773763912E-3</v>
      </c>
      <c r="AA596" s="36"/>
    </row>
    <row r="597" spans="4:27" ht="13.9" customHeight="1">
      <c r="D597" s="8"/>
      <c r="E597" s="9"/>
      <c r="F597" s="19"/>
      <c r="G597" s="19"/>
      <c r="H597" s="19"/>
      <c r="J597" s="45"/>
      <c r="K597" s="45"/>
      <c r="L597" s="45"/>
      <c r="M597" s="43"/>
      <c r="O597" s="12">
        <f t="shared" si="67"/>
        <v>48.666666666666664</v>
      </c>
      <c r="P597" s="13">
        <v>584</v>
      </c>
      <c r="Q597" s="22">
        <v>2.748387691904286E-2</v>
      </c>
      <c r="R597" s="19">
        <f t="shared" si="68"/>
        <v>2.4723687881799128E-2</v>
      </c>
      <c r="S597" s="22">
        <v>3.5265644727793255E-2</v>
      </c>
      <c r="T597" s="19">
        <f t="shared" si="69"/>
        <v>4.2568472815663005E-2</v>
      </c>
      <c r="U597" s="24">
        <v>3.7805864332324024E-2</v>
      </c>
      <c r="V597" s="24">
        <f t="shared" si="70"/>
        <v>4.2609241668532194E-2</v>
      </c>
      <c r="W597" s="23">
        <f t="shared" si="71"/>
        <v>3.4829400102578401E-3</v>
      </c>
      <c r="X597" s="24">
        <v>3.7293868126285323E-2</v>
      </c>
      <c r="Y597" s="24">
        <f t="shared" si="72"/>
        <v>4.2600115623328438E-2</v>
      </c>
      <c r="Z597" s="23">
        <f t="shared" si="73"/>
        <v>3.4821950959273984E-3</v>
      </c>
      <c r="AA597" s="36"/>
    </row>
    <row r="598" spans="4:27" ht="13.9" customHeight="1">
      <c r="D598" s="8"/>
      <c r="E598" s="9"/>
      <c r="F598" s="19"/>
      <c r="G598" s="19"/>
      <c r="H598" s="19"/>
      <c r="J598" s="45"/>
      <c r="K598" s="45"/>
      <c r="L598" s="45"/>
      <c r="M598" s="43"/>
      <c r="O598" s="12">
        <f t="shared" si="67"/>
        <v>48.75</v>
      </c>
      <c r="P598" s="13">
        <v>585</v>
      </c>
      <c r="Q598" s="22">
        <v>2.7479152309191512E-2</v>
      </c>
      <c r="R598" s="19">
        <f t="shared" si="68"/>
        <v>2.4748351669263924E-2</v>
      </c>
      <c r="S598" s="22">
        <v>3.5278084445741431E-2</v>
      </c>
      <c r="T598" s="19">
        <f t="shared" si="69"/>
        <v>4.2573110773352685E-2</v>
      </c>
      <c r="U598" s="24">
        <v>3.7814056322859058E-2</v>
      </c>
      <c r="V598" s="24">
        <f t="shared" si="70"/>
        <v>4.2613157474203689E-2</v>
      </c>
      <c r="W598" s="23">
        <f t="shared" si="71"/>
        <v>3.4832572707748088E-3</v>
      </c>
      <c r="X598" s="24">
        <v>3.7302915553135252E-2</v>
      </c>
      <c r="Y598" s="24">
        <f t="shared" si="72"/>
        <v>4.2604190496915662E-2</v>
      </c>
      <c r="Z598" s="23">
        <f t="shared" si="73"/>
        <v>3.4825253034869164E-3</v>
      </c>
      <c r="AA598" s="36"/>
    </row>
    <row r="599" spans="4:27" ht="13.9" customHeight="1">
      <c r="D599" s="8"/>
      <c r="E599" s="9"/>
      <c r="F599" s="19"/>
      <c r="G599" s="19"/>
      <c r="H599" s="19"/>
      <c r="J599" s="45"/>
      <c r="K599" s="45"/>
      <c r="L599" s="45"/>
      <c r="M599" s="43"/>
      <c r="O599" s="12">
        <f t="shared" si="67"/>
        <v>48.833333333333336</v>
      </c>
      <c r="P599" s="13">
        <v>586</v>
      </c>
      <c r="Q599" s="22">
        <v>2.747448604675129E-2</v>
      </c>
      <c r="R599" s="19">
        <f t="shared" si="68"/>
        <v>2.477320490042012E-2</v>
      </c>
      <c r="S599" s="22">
        <v>3.5290489715360751E-2</v>
      </c>
      <c r="T599" s="19">
        <f t="shared" si="69"/>
        <v>4.2577698737590985E-2</v>
      </c>
      <c r="U599" s="24">
        <v>3.7822227070284375E-2</v>
      </c>
      <c r="V599" s="24">
        <f t="shared" si="70"/>
        <v>4.2617033927441428E-2</v>
      </c>
      <c r="W599" s="23">
        <f t="shared" si="71"/>
        <v>3.4835713416740965E-3</v>
      </c>
      <c r="X599" s="24">
        <v>3.7311939098330305E-2</v>
      </c>
      <c r="Y599" s="24">
        <f t="shared" si="72"/>
        <v>4.2608223727787609E-2</v>
      </c>
      <c r="Z599" s="23">
        <f t="shared" si="73"/>
        <v>3.4828521351784048E-3</v>
      </c>
      <c r="AA599" s="36"/>
    </row>
    <row r="600" spans="4:27" ht="13.9" customHeight="1">
      <c r="D600" s="8"/>
      <c r="E600" s="9"/>
      <c r="F600" s="19"/>
      <c r="G600" s="19"/>
      <c r="H600" s="19"/>
      <c r="J600" s="45"/>
      <c r="K600" s="45"/>
      <c r="L600" s="45"/>
      <c r="M600" s="43"/>
      <c r="O600" s="12">
        <f t="shared" si="67"/>
        <v>48.916666666666664</v>
      </c>
      <c r="P600" s="13">
        <v>587</v>
      </c>
      <c r="Q600" s="22">
        <v>2.7469878155409022E-2</v>
      </c>
      <c r="R600" s="19">
        <f t="shared" si="68"/>
        <v>2.4798249159859287E-2</v>
      </c>
      <c r="S600" s="22">
        <v>3.5302860627623334E-2</v>
      </c>
      <c r="T600" s="19">
        <f t="shared" si="69"/>
        <v>4.2582237250534893E-2</v>
      </c>
      <c r="U600" s="24">
        <v>3.7830376616239114E-2</v>
      </c>
      <c r="V600" s="24">
        <f t="shared" si="70"/>
        <v>4.2620871425823159E-2</v>
      </c>
      <c r="W600" s="23">
        <f t="shared" si="71"/>
        <v>3.4838822552092363E-3</v>
      </c>
      <c r="X600" s="24">
        <v>3.7320938813094395E-2</v>
      </c>
      <c r="Y600" s="24">
        <f t="shared" si="72"/>
        <v>4.2612215744085136E-2</v>
      </c>
      <c r="Z600" s="23">
        <f t="shared" si="73"/>
        <v>3.4831756256969992E-3</v>
      </c>
      <c r="AA600" s="36"/>
    </row>
    <row r="601" spans="4:27" ht="13.9" customHeight="1">
      <c r="D601" s="8"/>
      <c r="E601" s="9"/>
      <c r="F601" s="19"/>
      <c r="G601" s="19"/>
      <c r="H601" s="19"/>
      <c r="J601" s="45"/>
      <c r="K601" s="45"/>
      <c r="L601" s="45"/>
      <c r="M601" s="43"/>
      <c r="O601" s="12">
        <f t="shared" si="67"/>
        <v>49</v>
      </c>
      <c r="P601" s="13">
        <v>588</v>
      </c>
      <c r="Q601" s="22">
        <v>2.7465328661373301E-2</v>
      </c>
      <c r="R601" s="19">
        <f t="shared" si="68"/>
        <v>2.4823484982672284E-2</v>
      </c>
      <c r="S601" s="22">
        <v>3.5315197273798393E-2</v>
      </c>
      <c r="T601" s="19">
        <f t="shared" si="69"/>
        <v>4.2586726848051759E-2</v>
      </c>
      <c r="U601" s="24">
        <v>3.7838505002752543E-2</v>
      </c>
      <c r="V601" s="24">
        <f t="shared" si="70"/>
        <v>4.2624670363118566E-2</v>
      </c>
      <c r="W601" s="23">
        <f t="shared" si="71"/>
        <v>3.4841900433002504E-3</v>
      </c>
      <c r="X601" s="24">
        <v>3.7329914749026916E-2</v>
      </c>
      <c r="Y601" s="24">
        <f t="shared" si="72"/>
        <v>4.2616166969231095E-2</v>
      </c>
      <c r="Z601" s="23">
        <f t="shared" si="73"/>
        <v>3.4834958094176471E-3</v>
      </c>
      <c r="AA601" s="36"/>
    </row>
    <row r="602" spans="4:27" ht="13.9" customHeight="1">
      <c r="D602" s="8"/>
      <c r="E602" s="9"/>
      <c r="F602" s="19"/>
      <c r="G602" s="19"/>
      <c r="H602" s="19"/>
      <c r="J602" s="45"/>
      <c r="K602" s="45"/>
      <c r="L602" s="45"/>
      <c r="M602" s="43"/>
      <c r="O602" s="12">
        <f t="shared" si="67"/>
        <v>49.083333333333336</v>
      </c>
      <c r="P602" s="13">
        <v>589</v>
      </c>
      <c r="Q602" s="22">
        <v>2.7460837591565479E-2</v>
      </c>
      <c r="R602" s="19">
        <f t="shared" si="68"/>
        <v>2.4848909716697287E-2</v>
      </c>
      <c r="S602" s="22">
        <v>3.5327499745439361E-2</v>
      </c>
      <c r="T602" s="19">
        <f t="shared" si="69"/>
        <v>4.2591168060903684E-2</v>
      </c>
      <c r="U602" s="24">
        <v>3.7846612272233848E-2</v>
      </c>
      <c r="V602" s="24">
        <f t="shared" si="70"/>
        <v>4.2628431128746591E-2</v>
      </c>
      <c r="W602" s="23">
        <f t="shared" si="71"/>
        <v>3.4844947375609614E-3</v>
      </c>
      <c r="X602" s="24">
        <v>3.733886695809252E-2</v>
      </c>
      <c r="Y602" s="24">
        <f t="shared" si="72"/>
        <v>4.2620077822246749E-2</v>
      </c>
      <c r="Z602" s="23">
        <f t="shared" si="73"/>
        <v>3.4838127203358216E-3</v>
      </c>
      <c r="AA602" s="36"/>
    </row>
    <row r="603" spans="4:27" ht="13.9" customHeight="1">
      <c r="D603" s="8"/>
      <c r="E603" s="9"/>
      <c r="F603" s="19"/>
      <c r="G603" s="19"/>
      <c r="H603" s="19"/>
      <c r="J603" s="45"/>
      <c r="K603" s="45"/>
      <c r="L603" s="45"/>
      <c r="M603" s="43"/>
      <c r="O603" s="12">
        <f t="shared" si="67"/>
        <v>49.166666666666664</v>
      </c>
      <c r="P603" s="13">
        <v>590</v>
      </c>
      <c r="Q603" s="22">
        <v>2.7456404968198234E-2</v>
      </c>
      <c r="R603" s="19">
        <f t="shared" si="68"/>
        <v>2.4874523935993542E-2</v>
      </c>
      <c r="S603" s="22">
        <v>3.5339768134372562E-2</v>
      </c>
      <c r="T603" s="19">
        <f t="shared" si="69"/>
        <v>4.259556141279508E-2</v>
      </c>
      <c r="U603" s="24">
        <v>3.7854698467461256E-2</v>
      </c>
      <c r="V603" s="24">
        <f t="shared" si="70"/>
        <v>4.2632154108792841E-2</v>
      </c>
      <c r="W603" s="23">
        <f t="shared" si="71"/>
        <v>3.4847963692559158E-3</v>
      </c>
      <c r="X603" s="24">
        <v>3.7347795492610025E-2</v>
      </c>
      <c r="Y603" s="24">
        <f t="shared" si="72"/>
        <v>4.2623948718427229E-2</v>
      </c>
      <c r="Z603" s="23">
        <f t="shared" si="73"/>
        <v>3.4841263920935006E-3</v>
      </c>
      <c r="AA603" s="36"/>
    </row>
    <row r="604" spans="4:27" ht="13.9" customHeight="1">
      <c r="D604" s="8"/>
      <c r="E604" s="9"/>
      <c r="F604" s="19"/>
      <c r="G604" s="19"/>
      <c r="H604" s="19"/>
      <c r="J604" s="45"/>
      <c r="K604" s="45"/>
      <c r="L604" s="45"/>
      <c r="M604" s="43"/>
      <c r="O604" s="12">
        <f t="shared" si="67"/>
        <v>49.25</v>
      </c>
      <c r="P604" s="13">
        <v>591</v>
      </c>
      <c r="Q604" s="22">
        <v>2.7452030814288264E-2</v>
      </c>
      <c r="R604" s="19">
        <f t="shared" si="68"/>
        <v>2.4900329298457757E-2</v>
      </c>
      <c r="S604" s="22">
        <v>3.5352002532683668E-2</v>
      </c>
      <c r="T604" s="19">
        <f t="shared" si="69"/>
        <v>4.2599907422461225E-2</v>
      </c>
      <c r="U604" s="24">
        <v>3.7862763631574259E-2</v>
      </c>
      <c r="V604" s="24">
        <f t="shared" si="70"/>
        <v>4.2635839684455057E-2</v>
      </c>
      <c r="W604" s="23">
        <f t="shared" si="71"/>
        <v>3.4850949693809863E-3</v>
      </c>
      <c r="X604" s="24">
        <v>3.7356700405243304E-2</v>
      </c>
      <c r="Y604" s="24">
        <f t="shared" si="72"/>
        <v>4.2627780067454601E-2</v>
      </c>
      <c r="Z604" s="23">
        <f t="shared" si="73"/>
        <v>3.4844368580326801E-3</v>
      </c>
      <c r="AA604" s="36"/>
    </row>
    <row r="605" spans="4:27" ht="13.9" customHeight="1">
      <c r="D605" s="8"/>
      <c r="E605" s="9"/>
      <c r="F605" s="19"/>
      <c r="G605" s="19"/>
      <c r="H605" s="19"/>
      <c r="J605" s="45"/>
      <c r="K605" s="45"/>
      <c r="L605" s="45"/>
      <c r="M605" s="43"/>
      <c r="O605" s="12">
        <f t="shared" si="67"/>
        <v>49.333333333333336</v>
      </c>
      <c r="P605" s="13">
        <v>592</v>
      </c>
      <c r="Q605" s="22">
        <v>2.7447715155484609E-2</v>
      </c>
      <c r="R605" s="19">
        <f t="shared" si="68"/>
        <v>2.4926327479694033E-2</v>
      </c>
      <c r="S605" s="22">
        <v>3.536420303270682E-2</v>
      </c>
      <c r="T605" s="19">
        <f t="shared" si="69"/>
        <v>4.2604206603336525E-2</v>
      </c>
      <c r="U605" s="24">
        <v>3.7870807808061624E-2</v>
      </c>
      <c r="V605" s="24">
        <f t="shared" si="70"/>
        <v>4.263948823388608E-2</v>
      </c>
      <c r="W605" s="23">
        <f t="shared" si="71"/>
        <v>3.4853905685396924E-3</v>
      </c>
      <c r="X605" s="24">
        <v>3.7365581748989296E-2</v>
      </c>
      <c r="Y605" s="24">
        <f t="shared" si="72"/>
        <v>4.2631572276304874E-2</v>
      </c>
      <c r="Z605" s="23">
        <f t="shared" si="73"/>
        <v>3.4847441510450494E-3</v>
      </c>
      <c r="AA605" s="36"/>
    </row>
    <row r="606" spans="4:27" ht="13.9" customHeight="1">
      <c r="D606" s="8"/>
      <c r="E606" s="9"/>
      <c r="F606" s="19"/>
      <c r="G606" s="19"/>
      <c r="H606" s="19"/>
      <c r="J606" s="45"/>
      <c r="K606" s="45"/>
      <c r="L606" s="45"/>
      <c r="M606" s="43"/>
      <c r="O606" s="12">
        <f t="shared" si="67"/>
        <v>49.416666666666664</v>
      </c>
      <c r="P606" s="13">
        <v>593</v>
      </c>
      <c r="Q606" s="22">
        <v>2.7443458020075973E-2</v>
      </c>
      <c r="R606" s="19">
        <f t="shared" si="68"/>
        <v>2.4952520172430326E-2</v>
      </c>
      <c r="S606" s="22">
        <v>3.5376369727013524E-2</v>
      </c>
      <c r="T606" s="19">
        <f t="shared" si="69"/>
        <v>4.2608459462022408E-2</v>
      </c>
      <c r="U606" s="24">
        <v>3.7878831040753402E-2</v>
      </c>
      <c r="V606" s="24">
        <f t="shared" si="70"/>
        <v>4.2643100131070533E-2</v>
      </c>
      <c r="W606" s="23">
        <f t="shared" si="71"/>
        <v>3.4856831970906388E-3</v>
      </c>
      <c r="X606" s="24">
        <v>3.7374439577169793E-2</v>
      </c>
      <c r="Y606" s="24">
        <f t="shared" si="72"/>
        <v>4.2635325746292141E-2</v>
      </c>
      <c r="Z606" s="23">
        <f t="shared" si="73"/>
        <v>3.4850483038033619E-3</v>
      </c>
      <c r="AA606" s="36"/>
    </row>
    <row r="607" spans="4:27" ht="13.9" customHeight="1">
      <c r="D607" s="8"/>
      <c r="E607" s="9"/>
      <c r="F607" s="19"/>
      <c r="G607" s="19"/>
      <c r="H607" s="19"/>
      <c r="J607" s="45"/>
      <c r="K607" s="45"/>
      <c r="L607" s="45"/>
      <c r="M607" s="43"/>
      <c r="O607" s="12">
        <f t="shared" si="67"/>
        <v>49.5</v>
      </c>
      <c r="P607" s="13">
        <v>594</v>
      </c>
      <c r="Q607" s="22">
        <v>2.7439259438997166E-2</v>
      </c>
      <c r="R607" s="19">
        <f t="shared" si="68"/>
        <v>2.4978908033688185E-2</v>
      </c>
      <c r="S607" s="22">
        <v>3.5388502708399772E-2</v>
      </c>
      <c r="T607" s="19">
        <f t="shared" si="69"/>
        <v>4.2612666501013141E-2</v>
      </c>
      <c r="U607" s="24">
        <v>3.7886833373811379E-2</v>
      </c>
      <c r="V607" s="24">
        <f t="shared" si="70"/>
        <v>4.2646675746042195E-2</v>
      </c>
      <c r="W607" s="23">
        <f t="shared" si="71"/>
        <v>3.4859728850571425E-3</v>
      </c>
      <c r="X607" s="24">
        <v>3.7383273943420336E-2</v>
      </c>
      <c r="Y607" s="24">
        <f t="shared" si="72"/>
        <v>4.2639040875914969E-2</v>
      </c>
      <c r="Z607" s="23">
        <f t="shared" si="73"/>
        <v>3.4853493485265119E-3</v>
      </c>
      <c r="AA607" s="36"/>
    </row>
    <row r="608" spans="4:27" ht="13.9" customHeight="1">
      <c r="D608" s="8"/>
      <c r="E608" s="9"/>
      <c r="F608" s="19"/>
      <c r="G608" s="19"/>
      <c r="H608" s="19"/>
      <c r="J608" s="45"/>
      <c r="K608" s="45"/>
      <c r="L608" s="45"/>
      <c r="M608" s="43"/>
      <c r="O608" s="12">
        <f t="shared" si="67"/>
        <v>49.583333333333336</v>
      </c>
      <c r="P608" s="13">
        <v>595</v>
      </c>
      <c r="Q608" s="22">
        <v>2.7435119444061407E-2</v>
      </c>
      <c r="R608" s="19">
        <f t="shared" si="68"/>
        <v>2.5005488584986857E-2</v>
      </c>
      <c r="S608" s="22">
        <v>3.5400602069876719E-2</v>
      </c>
      <c r="T608" s="19">
        <f t="shared" si="69"/>
        <v>4.2616828215969571E-2</v>
      </c>
      <c r="U608" s="24">
        <v>3.7894814851719305E-2</v>
      </c>
      <c r="V608" s="24">
        <f t="shared" si="70"/>
        <v>4.2650215444964612E-2</v>
      </c>
      <c r="W608" s="23">
        <f t="shared" si="71"/>
        <v>3.4862596621454411E-3</v>
      </c>
      <c r="X608" s="24">
        <v>3.7392084901681999E-2</v>
      </c>
      <c r="Y608" s="24">
        <f t="shared" si="72"/>
        <v>4.2642718058217177E-2</v>
      </c>
      <c r="Z608" s="23">
        <f t="shared" si="73"/>
        <v>3.4856473172064639E-3</v>
      </c>
      <c r="AA608" s="36"/>
    </row>
    <row r="609" spans="4:27" ht="13.9" customHeight="1">
      <c r="D609" s="8"/>
      <c r="E609" s="9"/>
      <c r="F609" s="19"/>
      <c r="G609" s="19"/>
      <c r="H609" s="19"/>
      <c r="J609" s="45"/>
      <c r="K609" s="45"/>
      <c r="L609" s="45"/>
      <c r="M609" s="43"/>
      <c r="O609" s="12">
        <f t="shared" si="67"/>
        <v>49.666666666666664</v>
      </c>
      <c r="P609" s="13">
        <v>596</v>
      </c>
      <c r="Q609" s="22">
        <v>2.7431038062679436E-2</v>
      </c>
      <c r="R609" s="19">
        <f t="shared" si="68"/>
        <v>2.5032262525291227E-2</v>
      </c>
      <c r="S609" s="22">
        <v>3.5412667904658024E-2</v>
      </c>
      <c r="T609" s="19">
        <f t="shared" si="69"/>
        <v>4.262094509819736E-2</v>
      </c>
      <c r="U609" s="24">
        <v>3.7902775519274456E-2</v>
      </c>
      <c r="V609" s="24">
        <f t="shared" si="70"/>
        <v>4.2653719590716177E-2</v>
      </c>
      <c r="W609" s="23">
        <f t="shared" si="71"/>
        <v>3.4865435577504655E-3</v>
      </c>
      <c r="X609" s="24">
        <v>3.7400872506190286E-2</v>
      </c>
      <c r="Y609" s="24">
        <f t="shared" si="72"/>
        <v>4.2646357683267855E-2</v>
      </c>
      <c r="Z609" s="23">
        <f t="shared" si="73"/>
        <v>3.4859422413966445E-3</v>
      </c>
      <c r="AA609" s="36"/>
    </row>
    <row r="610" spans="4:27" ht="13.9" customHeight="1">
      <c r="D610" s="8"/>
      <c r="E610" s="9"/>
      <c r="F610" s="19"/>
      <c r="G610" s="19"/>
      <c r="H610" s="19"/>
      <c r="J610" s="45"/>
      <c r="K610" s="45"/>
      <c r="L610" s="45"/>
      <c r="M610" s="43"/>
      <c r="O610" s="12">
        <f t="shared" si="67"/>
        <v>49.75</v>
      </c>
      <c r="P610" s="13">
        <v>597</v>
      </c>
      <c r="Q610" s="22">
        <v>2.7427015323231441E-2</v>
      </c>
      <c r="R610" s="19">
        <f t="shared" si="68"/>
        <v>2.5059231620286671E-2</v>
      </c>
      <c r="S610" s="22">
        <v>3.5424700306150525E-2</v>
      </c>
      <c r="T610" s="19">
        <f t="shared" si="69"/>
        <v>4.2625017632766493E-2</v>
      </c>
      <c r="U610" s="24">
        <v>3.7910715421578534E-2</v>
      </c>
      <c r="V610" s="24">
        <f t="shared" si="70"/>
        <v>4.2657188541972202E-2</v>
      </c>
      <c r="W610" s="23">
        <f t="shared" si="71"/>
        <v>3.4868246010026915E-3</v>
      </c>
      <c r="X610" s="24">
        <v>3.7409636811467362E-2</v>
      </c>
      <c r="Y610" s="24">
        <f t="shared" si="72"/>
        <v>4.2649960136355469E-2</v>
      </c>
      <c r="Z610" s="23">
        <f t="shared" si="73"/>
        <v>3.4862341524117824E-3</v>
      </c>
      <c r="AA610" s="36"/>
    </row>
    <row r="611" spans="4:27" ht="13.9" customHeight="1">
      <c r="D611" s="8"/>
      <c r="E611" s="9"/>
      <c r="F611" s="19"/>
      <c r="G611" s="19"/>
      <c r="H611" s="19"/>
      <c r="J611" s="45"/>
      <c r="K611" s="45"/>
      <c r="L611" s="45"/>
      <c r="M611" s="43"/>
      <c r="O611" s="12">
        <f t="shared" si="67"/>
        <v>49.833333333333336</v>
      </c>
      <c r="P611" s="13">
        <v>598</v>
      </c>
      <c r="Q611" s="22">
        <v>2.7423051256847186E-2</v>
      </c>
      <c r="R611" s="19">
        <f t="shared" si="68"/>
        <v>2.5086397654918935E-2</v>
      </c>
      <c r="S611" s="22">
        <v>3.5436699367942692E-2</v>
      </c>
      <c r="T611" s="19">
        <f t="shared" si="69"/>
        <v>4.2629046300445728E-2</v>
      </c>
      <c r="U611" s="24">
        <v>3.7918634604029E-2</v>
      </c>
      <c r="V611" s="24">
        <f t="shared" si="70"/>
        <v>4.266062265446946E-2</v>
      </c>
      <c r="W611" s="23">
        <f t="shared" si="71"/>
        <v>3.4871028206957533E-3</v>
      </c>
      <c r="X611" s="24">
        <v>3.7418377872312059E-2</v>
      </c>
      <c r="Y611" s="24">
        <f t="shared" si="72"/>
        <v>4.2653525799199343E-2</v>
      </c>
      <c r="Z611" s="23">
        <f t="shared" si="73"/>
        <v>3.4865230811818027E-3</v>
      </c>
      <c r="AA611" s="36"/>
    </row>
    <row r="612" spans="4:27" ht="13.9" customHeight="1">
      <c r="D612" s="8"/>
      <c r="E612" s="9"/>
      <c r="F612" s="19"/>
      <c r="G612" s="19"/>
      <c r="H612" s="19"/>
      <c r="J612" s="45"/>
      <c r="K612" s="45"/>
      <c r="L612" s="45"/>
      <c r="M612" s="43"/>
      <c r="O612" s="12">
        <f t="shared" si="67"/>
        <v>49.916666666666664</v>
      </c>
      <c r="P612" s="13">
        <v>599</v>
      </c>
      <c r="Q612" s="22">
        <v>2.741914589741401E-2</v>
      </c>
      <c r="R612" s="19">
        <f t="shared" si="68"/>
        <v>2.5113762430789555E-2</v>
      </c>
      <c r="S612" s="22">
        <v>3.5448665183795525E-2</v>
      </c>
      <c r="T612" s="19">
        <f t="shared" si="69"/>
        <v>4.2633031575499913E-2</v>
      </c>
      <c r="U612" s="24">
        <v>3.7926533112311089E-2</v>
      </c>
      <c r="V612" s="24">
        <f t="shared" si="70"/>
        <v>4.2664022279647495E-2</v>
      </c>
      <c r="W612" s="23">
        <f t="shared" si="71"/>
        <v>3.4873782453859192E-3</v>
      </c>
      <c r="X612" s="24">
        <v>3.7427095743791217E-2</v>
      </c>
      <c r="Y612" s="24">
        <f t="shared" si="72"/>
        <v>4.2657055049301729E-2</v>
      </c>
      <c r="Z612" s="23">
        <f t="shared" si="73"/>
        <v>3.4868090583504152E-3</v>
      </c>
      <c r="AA612" s="36"/>
    </row>
    <row r="613" spans="4:27" ht="13.9" customHeight="1">
      <c r="D613" s="8"/>
      <c r="E613" s="9"/>
      <c r="F613" s="19"/>
      <c r="G613" s="19"/>
      <c r="H613" s="19"/>
      <c r="J613" s="45"/>
      <c r="K613" s="45"/>
      <c r="L613" s="45"/>
      <c r="M613" s="43"/>
      <c r="O613" s="12">
        <f t="shared" si="67"/>
        <v>50</v>
      </c>
      <c r="P613" s="13">
        <v>600</v>
      </c>
      <c r="Q613" s="22">
        <v>2.7415299281581929E-2</v>
      </c>
      <c r="R613" s="19">
        <f t="shared" si="68"/>
        <v>2.5141253648342632E-2</v>
      </c>
      <c r="S613" s="22">
        <v>3.5460597847631004E-2</v>
      </c>
      <c r="T613" s="19">
        <f t="shared" si="69"/>
        <v>4.2636973927767885E-2</v>
      </c>
      <c r="U613" s="24">
        <v>3.7934410992388701E-2</v>
      </c>
      <c r="V613" s="24">
        <f t="shared" si="70"/>
        <v>4.2667387765053633E-2</v>
      </c>
      <c r="W613" s="23">
        <f t="shared" si="71"/>
        <v>3.4876509032850667E-3</v>
      </c>
      <c r="X613" s="24">
        <v>3.7435790481230802E-2</v>
      </c>
      <c r="Y613" s="24">
        <f t="shared" si="72"/>
        <v>4.2660548260452957E-2</v>
      </c>
      <c r="Z613" s="23">
        <f t="shared" si="73"/>
        <v>3.4870921142220457E-3</v>
      </c>
      <c r="AA613" s="36"/>
    </row>
    <row r="614" spans="4:27" ht="13.9" customHeight="1">
      <c r="D614" s="8"/>
      <c r="E614" s="9"/>
      <c r="F614" s="19"/>
      <c r="G614" s="19"/>
      <c r="H614" s="19"/>
      <c r="J614" s="45"/>
      <c r="K614" s="45"/>
      <c r="L614" s="45"/>
      <c r="M614" s="43"/>
      <c r="O614" s="12">
        <f t="shared" si="67"/>
        <v>50.083333333333336</v>
      </c>
      <c r="P614" s="13">
        <v>601</v>
      </c>
      <c r="Q614" s="22">
        <v>2.7411511325170279E-2</v>
      </c>
      <c r="R614" s="19">
        <f t="shared" si="68"/>
        <v>2.5168576804626364E-2</v>
      </c>
      <c r="S614" s="22">
        <v>3.5472497453522767E-2</v>
      </c>
      <c r="T614" s="19">
        <f t="shared" si="69"/>
        <v>4.2640873822360259E-2</v>
      </c>
      <c r="U614" s="24">
        <v>3.794226829049574E-2</v>
      </c>
      <c r="V614" s="24">
        <f t="shared" si="70"/>
        <v>4.267071945602674E-2</v>
      </c>
      <c r="W614" s="23">
        <f t="shared" si="71"/>
        <v>3.48792082229199E-3</v>
      </c>
      <c r="X614" s="24">
        <v>3.744446214020769E-2</v>
      </c>
      <c r="Y614" s="24">
        <f t="shared" si="72"/>
        <v>4.2664005802456106E-2</v>
      </c>
      <c r="Z614" s="23">
        <f t="shared" si="73"/>
        <v>3.4873722788024697E-3</v>
      </c>
      <c r="AA614" s="36"/>
    </row>
    <row r="615" spans="4:27" ht="13.9" customHeight="1">
      <c r="D615" s="8"/>
      <c r="E615" s="9"/>
      <c r="F615" s="19"/>
      <c r="G615" s="19"/>
      <c r="H615" s="19"/>
      <c r="J615" s="45"/>
      <c r="K615" s="45"/>
      <c r="L615" s="45"/>
      <c r="M615" s="43"/>
      <c r="O615" s="12">
        <f t="shared" si="67"/>
        <v>50.166666666666664</v>
      </c>
      <c r="P615" s="13">
        <v>602</v>
      </c>
      <c r="Q615" s="22">
        <v>2.740778145427214E-2</v>
      </c>
      <c r="R615" s="19">
        <f t="shared" si="68"/>
        <v>2.5195659987232943E-2</v>
      </c>
      <c r="S615" s="22">
        <v>3.5484364095687448E-2</v>
      </c>
      <c r="T615" s="19">
        <f t="shared" si="69"/>
        <v>4.2644731718342044E-2</v>
      </c>
      <c r="U615" s="24">
        <v>3.7950105053129679E-2</v>
      </c>
      <c r="V615" s="24">
        <f t="shared" si="70"/>
        <v>4.2674017693062449E-2</v>
      </c>
      <c r="W615" s="23">
        <f t="shared" si="71"/>
        <v>3.4881880301276258E-3</v>
      </c>
      <c r="X615" s="24">
        <v>3.7453110776540566E-2</v>
      </c>
      <c r="Y615" s="24">
        <f t="shared" si="72"/>
        <v>4.2667428041349709E-2</v>
      </c>
      <c r="Z615" s="23">
        <f t="shared" si="73"/>
        <v>3.4876495817777187E-3</v>
      </c>
      <c r="AA615" s="36"/>
    </row>
    <row r="616" spans="4:27" ht="13.9" customHeight="1">
      <c r="D616" s="8"/>
      <c r="E616" s="9"/>
      <c r="F616" s="19"/>
      <c r="G616" s="19"/>
      <c r="H616" s="19"/>
      <c r="J616" s="45"/>
      <c r="K616" s="45"/>
      <c r="L616" s="45"/>
      <c r="M616" s="43"/>
      <c r="O616" s="12">
        <f t="shared" si="67"/>
        <v>50.25</v>
      </c>
      <c r="P616" s="13">
        <v>603</v>
      </c>
      <c r="Q616" s="22">
        <v>2.7404108979308672E-2</v>
      </c>
      <c r="R616" s="19">
        <f t="shared" si="68"/>
        <v>2.5222505414861152E-2</v>
      </c>
      <c r="S616" s="22">
        <v>3.5496197868473578E-2</v>
      </c>
      <c r="T616" s="19">
        <f t="shared" si="69"/>
        <v>4.2648548070039372E-2</v>
      </c>
      <c r="U616" s="24">
        <v>3.795792132704201E-2</v>
      </c>
      <c r="V616" s="24">
        <f t="shared" si="70"/>
        <v>4.2677282813737172E-2</v>
      </c>
      <c r="W616" s="23">
        <f t="shared" si="71"/>
        <v>3.4884525541238887E-3</v>
      </c>
      <c r="X616" s="24">
        <v>3.7461736446282146E-2</v>
      </c>
      <c r="Y616" s="24">
        <f t="shared" si="72"/>
        <v>4.2670815339196144E-2</v>
      </c>
      <c r="Z616" s="23">
        <f t="shared" si="73"/>
        <v>3.4879240525307331E-3</v>
      </c>
      <c r="AA616" s="36"/>
    </row>
    <row r="617" spans="4:27" ht="13.9" customHeight="1">
      <c r="D617" s="8"/>
      <c r="E617" s="9"/>
      <c r="F617" s="19"/>
      <c r="G617" s="19"/>
      <c r="H617" s="19"/>
      <c r="J617" s="45"/>
      <c r="K617" s="45"/>
      <c r="L617" s="45"/>
      <c r="M617" s="43"/>
      <c r="O617" s="12">
        <f t="shared" si="67"/>
        <v>50.333333333333336</v>
      </c>
      <c r="P617" s="13">
        <v>604</v>
      </c>
      <c r="Q617" s="22">
        <v>2.7400493218996402E-2</v>
      </c>
      <c r="R617" s="19">
        <f t="shared" si="68"/>
        <v>2.524911528524787E-2</v>
      </c>
      <c r="S617" s="22">
        <v>3.5507998866352697E-2</v>
      </c>
      <c r="T617" s="19">
        <f t="shared" si="69"/>
        <v>4.265232332732305E-2</v>
      </c>
      <c r="U617" s="24">
        <v>3.7965717159230916E-2</v>
      </c>
      <c r="V617" s="24">
        <f t="shared" si="70"/>
        <v>4.2680515152145881E-2</v>
      </c>
      <c r="W617" s="23">
        <f t="shared" si="71"/>
        <v>3.4887144213786581E-3</v>
      </c>
      <c r="X617" s="24">
        <v>3.7470339205710523E-2</v>
      </c>
      <c r="Y617" s="24">
        <f t="shared" si="72"/>
        <v>4.2674168054531281E-2</v>
      </c>
      <c r="Z617" s="23">
        <f t="shared" si="73"/>
        <v>3.4881957201251534E-3</v>
      </c>
      <c r="AA617" s="36"/>
    </row>
    <row r="618" spans="4:27" ht="13.9" customHeight="1">
      <c r="D618" s="8"/>
      <c r="E618" s="9"/>
      <c r="F618" s="19"/>
      <c r="G618" s="19"/>
      <c r="H618" s="19"/>
      <c r="J618" s="45"/>
      <c r="K618" s="45"/>
      <c r="L618" s="45"/>
      <c r="M618" s="43"/>
      <c r="O618" s="12">
        <f t="shared" si="67"/>
        <v>50.416666666666664</v>
      </c>
      <c r="P618" s="13">
        <v>605</v>
      </c>
      <c r="Q618" s="22">
        <v>2.7396933500242193E-2</v>
      </c>
      <c r="R618" s="19">
        <f t="shared" si="68"/>
        <v>2.5275491773396386E-2</v>
      </c>
      <c r="S618" s="22">
        <v>3.5519767183910922E-2</v>
      </c>
      <c r="T618" s="19">
        <f t="shared" si="69"/>
        <v>4.2656057934819192E-2</v>
      </c>
      <c r="U618" s="24">
        <v>3.7973492596933722E-2</v>
      </c>
      <c r="V618" s="24">
        <f t="shared" si="70"/>
        <v>4.2683715039215864E-2</v>
      </c>
      <c r="W618" s="23">
        <f t="shared" si="71"/>
        <v>3.4889736587093712E-3</v>
      </c>
      <c r="X618" s="24">
        <v>3.7478919111321618E-2</v>
      </c>
      <c r="Y618" s="24">
        <f t="shared" si="72"/>
        <v>4.2677486541979004E-2</v>
      </c>
      <c r="Z618" s="23">
        <f t="shared" si="73"/>
        <v>3.4884646133410691E-3</v>
      </c>
      <c r="AA618" s="36"/>
    </row>
    <row r="619" spans="4:27" ht="13.9" customHeight="1">
      <c r="D619" s="8"/>
      <c r="E619" s="9"/>
      <c r="F619" s="19"/>
      <c r="G619" s="19"/>
      <c r="H619" s="19"/>
      <c r="J619" s="45"/>
      <c r="K619" s="45"/>
      <c r="L619" s="45"/>
      <c r="M619" s="43"/>
      <c r="O619" s="12">
        <f t="shared" si="67"/>
        <v>50.5</v>
      </c>
      <c r="P619" s="13">
        <v>606</v>
      </c>
      <c r="Q619" s="22">
        <v>2.739342915803733E-2</v>
      </c>
      <c r="R619" s="19">
        <f t="shared" si="68"/>
        <v>2.5301637032091984E-2</v>
      </c>
      <c r="S619" s="22">
        <v>3.5531502915839397E-2</v>
      </c>
      <c r="T619" s="19">
        <f t="shared" si="69"/>
        <v>4.2659752332193657E-2</v>
      </c>
      <c r="U619" s="24">
        <v>3.7981247687619568E-2</v>
      </c>
      <c r="V619" s="24">
        <f t="shared" si="70"/>
        <v>4.2686882802158266E-2</v>
      </c>
      <c r="W619" s="23">
        <f t="shared" si="71"/>
        <v>3.4892302926787799E-3</v>
      </c>
      <c r="X619" s="24">
        <v>3.7487476219820737E-2</v>
      </c>
      <c r="Y619" s="24">
        <f t="shared" si="72"/>
        <v>4.2680771152966646E-2</v>
      </c>
      <c r="Z619" s="23">
        <f t="shared" si="73"/>
        <v>3.4887307606443763E-3</v>
      </c>
      <c r="AA619" s="36"/>
    </row>
    <row r="620" spans="4:27" ht="13.9" customHeight="1">
      <c r="D620" s="8"/>
      <c r="E620" s="9"/>
      <c r="F620" s="19"/>
      <c r="G620" s="19"/>
      <c r="H620" s="19"/>
      <c r="J620" s="45"/>
      <c r="K620" s="45"/>
      <c r="L620" s="45"/>
      <c r="M620" s="43"/>
      <c r="O620" s="12">
        <f t="shared" si="67"/>
        <v>50.583333333333336</v>
      </c>
      <c r="P620" s="13">
        <v>607</v>
      </c>
      <c r="Q620" s="22">
        <v>2.7389979535353159E-2</v>
      </c>
      <c r="R620" s="19">
        <f t="shared" si="68"/>
        <v>2.5327553192854069E-2</v>
      </c>
      <c r="S620" s="22">
        <v>3.5543206156925411E-2</v>
      </c>
      <c r="T620" s="19">
        <f t="shared" si="69"/>
        <v>4.2663406954212446E-2</v>
      </c>
      <c r="U620" s="24">
        <v>3.7988982478981637E-2</v>
      </c>
      <c r="V620" s="24">
        <f t="shared" si="70"/>
        <v>4.2690018764725224E-2</v>
      </c>
      <c r="W620" s="23">
        <f t="shared" si="71"/>
        <v>3.4894843495518746E-3</v>
      </c>
      <c r="X620" s="24">
        <v>3.7496010588115913E-2</v>
      </c>
      <c r="Y620" s="24">
        <f t="shared" si="72"/>
        <v>4.2684022234410479E-2</v>
      </c>
      <c r="Z620" s="23">
        <f t="shared" si="73"/>
        <v>3.4889941902438437E-3</v>
      </c>
      <c r="AA620" s="36"/>
    </row>
    <row r="621" spans="4:27" ht="13.9" customHeight="1">
      <c r="D621" s="8"/>
      <c r="E621" s="9"/>
      <c r="F621" s="19"/>
      <c r="G621" s="19"/>
      <c r="H621" s="19"/>
      <c r="J621" s="45"/>
      <c r="K621" s="45"/>
      <c r="L621" s="45"/>
      <c r="M621" s="43"/>
      <c r="O621" s="12">
        <f t="shared" si="67"/>
        <v>50.666666666666664</v>
      </c>
      <c r="P621" s="13">
        <v>608</v>
      </c>
      <c r="Q621" s="22">
        <v>2.7386583983039614E-2</v>
      </c>
      <c r="R621" s="19">
        <f t="shared" si="68"/>
        <v>2.535324236566594E-2</v>
      </c>
      <c r="S621" s="22">
        <v>3.5554877002043961E-2</v>
      </c>
      <c r="T621" s="19">
        <f t="shared" si="69"/>
        <v>4.2667022231124507E-2</v>
      </c>
      <c r="U621" s="24">
        <v>3.7996697018929382E-2</v>
      </c>
      <c r="V621" s="24">
        <f t="shared" si="70"/>
        <v>4.2693123247709464E-2</v>
      </c>
      <c r="W621" s="23">
        <f t="shared" si="71"/>
        <v>3.4897358553149793E-3</v>
      </c>
      <c r="X621" s="24">
        <v>3.7504522273308583E-2</v>
      </c>
      <c r="Y621" s="24">
        <f t="shared" si="72"/>
        <v>4.2687240130591553E-2</v>
      </c>
      <c r="Z621" s="23">
        <f t="shared" si="73"/>
        <v>3.4892549299860853E-3</v>
      </c>
      <c r="AA621" s="36"/>
    </row>
    <row r="622" spans="4:27" ht="13.9" customHeight="1">
      <c r="D622" s="8"/>
      <c r="E622" s="9"/>
      <c r="F622" s="19"/>
      <c r="G622" s="19"/>
      <c r="H622" s="19"/>
      <c r="J622" s="45"/>
      <c r="K622" s="45"/>
      <c r="L622" s="45"/>
      <c r="M622" s="43"/>
      <c r="O622" s="12">
        <f t="shared" si="67"/>
        <v>50.75</v>
      </c>
      <c r="P622" s="13">
        <v>609</v>
      </c>
      <c r="Q622" s="22">
        <v>2.7383241859723961E-2</v>
      </c>
      <c r="R622" s="19">
        <f t="shared" si="68"/>
        <v>2.5378706639163751E-2</v>
      </c>
      <c r="S622" s="22">
        <v>3.5566515546149091E-2</v>
      </c>
      <c r="T622" s="19">
        <f t="shared" si="69"/>
        <v>4.2670598589040765E-2</v>
      </c>
      <c r="U622" s="24">
        <v>3.8004391355582312E-2</v>
      </c>
      <c r="V622" s="24">
        <f t="shared" si="70"/>
        <v>4.2696196568891676E-2</v>
      </c>
      <c r="W622" s="23">
        <f t="shared" si="71"/>
        <v>3.4899848357168306E-3</v>
      </c>
      <c r="X622" s="24">
        <v>3.7513011332688029E-2</v>
      </c>
      <c r="Y622" s="24">
        <f t="shared" si="72"/>
        <v>4.2690425181537872E-2</v>
      </c>
      <c r="Z622" s="23">
        <f t="shared" si="73"/>
        <v>3.4895130075056624E-3</v>
      </c>
      <c r="AA622" s="36"/>
    </row>
    <row r="623" spans="4:27" ht="13.9" customHeight="1">
      <c r="D623" s="8"/>
      <c r="E623" s="9"/>
      <c r="F623" s="19"/>
      <c r="G623" s="19"/>
      <c r="H623" s="19"/>
      <c r="J623" s="45"/>
      <c r="K623" s="45"/>
      <c r="L623" s="45"/>
      <c r="M623" s="43"/>
      <c r="O623" s="12">
        <f t="shared" si="67"/>
        <v>50.833333333333336</v>
      </c>
      <c r="P623" s="13">
        <v>610</v>
      </c>
      <c r="Q623" s="22">
        <v>2.7379952531711105E-2</v>
      </c>
      <c r="R623" s="19">
        <f t="shared" si="68"/>
        <v>2.540394808133084E-2</v>
      </c>
      <c r="S623" s="22">
        <v>3.5578121884266567E-2</v>
      </c>
      <c r="T623" s="19">
        <f t="shared" si="69"/>
        <v>4.2674136447925726E-2</v>
      </c>
      <c r="U623" s="24">
        <v>3.8012065537262663E-2</v>
      </c>
      <c r="V623" s="24">
        <f t="shared" si="70"/>
        <v>4.2699239041994241E-2</v>
      </c>
      <c r="W623" s="23">
        <f t="shared" si="71"/>
        <v>3.4902313162641363E-3</v>
      </c>
      <c r="X623" s="24">
        <v>3.7521477823722504E-2</v>
      </c>
      <c r="Y623" s="24">
        <f t="shared" si="72"/>
        <v>4.2693577724080223E-2</v>
      </c>
      <c r="Z623" s="23">
        <f t="shared" si="73"/>
        <v>3.4897684500954096E-3</v>
      </c>
      <c r="AA623" s="36"/>
    </row>
    <row r="624" spans="4:27" ht="13.9" customHeight="1">
      <c r="D624" s="8"/>
      <c r="E624" s="9"/>
      <c r="F624" s="19"/>
      <c r="G624" s="19"/>
      <c r="H624" s="19"/>
      <c r="J624" s="45"/>
      <c r="K624" s="45"/>
      <c r="L624" s="45"/>
      <c r="M624" s="43"/>
      <c r="O624" s="12">
        <f t="shared" si="67"/>
        <v>50.916666666666664</v>
      </c>
      <c r="P624" s="13">
        <v>611</v>
      </c>
      <c r="Q624" s="22">
        <v>2.7376715372886329E-2</v>
      </c>
      <c r="R624" s="19">
        <f t="shared" si="68"/>
        <v>2.5428968739466207E-2</v>
      </c>
      <c r="S624" s="22">
        <v>3.5589696111484104E-2</v>
      </c>
      <c r="T624" s="19">
        <f t="shared" si="69"/>
        <v>4.2677636224587312E-2</v>
      </c>
      <c r="U624" s="24">
        <v>3.801971961248829E-2</v>
      </c>
      <c r="V624" s="24">
        <f t="shared" si="70"/>
        <v>4.2702250978486456E-2</v>
      </c>
      <c r="W624" s="23">
        <f t="shared" si="71"/>
        <v>3.4904753221376428E-3</v>
      </c>
      <c r="X624" s="24">
        <v>3.7529921804053012E-2</v>
      </c>
      <c r="Y624" s="24">
        <f t="shared" si="72"/>
        <v>4.269669809140364E-2</v>
      </c>
      <c r="Z624" s="23">
        <f t="shared" si="73"/>
        <v>3.490021284791478E-3</v>
      </c>
      <c r="AA624" s="36"/>
    </row>
    <row r="625" spans="4:27" ht="13.9" customHeight="1">
      <c r="D625" s="8"/>
      <c r="E625" s="9"/>
      <c r="F625" s="19"/>
      <c r="G625" s="19"/>
      <c r="H625" s="19"/>
      <c r="J625" s="45"/>
      <c r="K625" s="45"/>
      <c r="L625" s="45"/>
      <c r="M625" s="43"/>
      <c r="O625" s="12">
        <f t="shared" si="67"/>
        <v>51</v>
      </c>
      <c r="P625" s="13">
        <v>612</v>
      </c>
      <c r="Q625" s="22">
        <v>2.7373529764618043E-2</v>
      </c>
      <c r="R625" s="19">
        <f t="shared" si="68"/>
        <v>2.5453770639984219E-2</v>
      </c>
      <c r="S625" s="22">
        <v>3.5601238322944706E-2</v>
      </c>
      <c r="T625" s="19">
        <f t="shared" si="69"/>
        <v>4.268109833070266E-2</v>
      </c>
      <c r="U625" s="24">
        <v>3.802735362996601E-2</v>
      </c>
      <c r="V625" s="24">
        <f t="shared" si="70"/>
        <v>4.2705232685593453E-2</v>
      </c>
      <c r="W625" s="23">
        <f t="shared" si="71"/>
        <v>3.490716878336686E-3</v>
      </c>
      <c r="X625" s="24">
        <v>3.7538343331485757E-2</v>
      </c>
      <c r="Y625" s="24">
        <f t="shared" si="72"/>
        <v>4.2699786613556556E-2</v>
      </c>
      <c r="Z625" s="23">
        <f t="shared" si="73"/>
        <v>3.4902715383371419E-3</v>
      </c>
      <c r="AA625" s="36"/>
    </row>
    <row r="626" spans="4:27" ht="13.9" customHeight="1">
      <c r="D626" s="8"/>
      <c r="E626" s="9"/>
      <c r="F626" s="19"/>
      <c r="G626" s="19"/>
      <c r="H626" s="19"/>
      <c r="J626" s="45"/>
      <c r="K626" s="45"/>
      <c r="L626" s="45"/>
      <c r="M626" s="43"/>
      <c r="O626" s="12">
        <f t="shared" si="67"/>
        <v>51.083333333333336</v>
      </c>
      <c r="P626" s="13">
        <v>613</v>
      </c>
      <c r="Q626" s="22">
        <v>2.7370395095662081E-2</v>
      </c>
      <c r="R626" s="19">
        <f t="shared" si="68"/>
        <v>2.5478355789792406E-2</v>
      </c>
      <c r="S626" s="22">
        <v>3.5612748613838674E-2</v>
      </c>
      <c r="T626" s="19">
        <f t="shared" si="69"/>
        <v>4.2684523173616595E-2</v>
      </c>
      <c r="U626" s="24">
        <v>3.8034967638584272E-2</v>
      </c>
      <c r="V626" s="24">
        <f t="shared" si="70"/>
        <v>4.2708184468779331E-2</v>
      </c>
      <c r="W626" s="23">
        <f t="shared" si="71"/>
        <v>3.4909560095202075E-3</v>
      </c>
      <c r="X626" s="24">
        <v>3.7546742463985483E-2</v>
      </c>
      <c r="Y626" s="24">
        <f t="shared" si="72"/>
        <v>4.2702843616726494E-2</v>
      </c>
      <c r="Z626" s="23">
        <f t="shared" si="73"/>
        <v>3.4905192372229887E-3</v>
      </c>
      <c r="AA626" s="36"/>
    </row>
    <row r="627" spans="4:27" ht="13.9" customHeight="1">
      <c r="D627" s="8"/>
      <c r="E627" s="9"/>
      <c r="F627" s="19"/>
      <c r="G627" s="19"/>
      <c r="H627" s="19"/>
      <c r="J627" s="45"/>
      <c r="K627" s="45"/>
      <c r="L627" s="45"/>
      <c r="M627" s="43"/>
      <c r="O627" s="12">
        <f t="shared" si="67"/>
        <v>51.166666666666664</v>
      </c>
      <c r="P627" s="13">
        <v>614</v>
      </c>
      <c r="Q627" s="22">
        <v>2.7367310762068886E-2</v>
      </c>
      <c r="R627" s="19">
        <f t="shared" si="68"/>
        <v>2.550272617463345E-2</v>
      </c>
      <c r="S627" s="22">
        <v>3.5624227079395832E-2</v>
      </c>
      <c r="T627" s="19">
        <f t="shared" si="69"/>
        <v>4.2687911155859348E-2</v>
      </c>
      <c r="U627" s="24">
        <v>3.8042561687408494E-2</v>
      </c>
      <c r="V627" s="24">
        <f t="shared" si="70"/>
        <v>4.2711106628941398E-2</v>
      </c>
      <c r="W627" s="23">
        <f t="shared" si="71"/>
        <v>3.4911927402052623E-3</v>
      </c>
      <c r="X627" s="24">
        <v>3.7555119259668368E-2</v>
      </c>
      <c r="Y627" s="24">
        <f t="shared" si="72"/>
        <v>4.2705869424088494E-2</v>
      </c>
      <c r="Z627" s="23">
        <f t="shared" si="73"/>
        <v>3.4907644076302979E-3</v>
      </c>
      <c r="AA627" s="36"/>
    </row>
    <row r="628" spans="4:27" ht="13.9" customHeight="1">
      <c r="D628" s="8"/>
      <c r="E628" s="9"/>
      <c r="F628" s="19"/>
      <c r="G628" s="19"/>
      <c r="H628" s="19"/>
      <c r="J628" s="45"/>
      <c r="K628" s="45"/>
      <c r="L628" s="45"/>
      <c r="M628" s="43"/>
      <c r="O628" s="12">
        <f t="shared" si="67"/>
        <v>51.25</v>
      </c>
      <c r="P628" s="13">
        <v>615</v>
      </c>
      <c r="Q628" s="22">
        <v>2.7364276167088919E-2</v>
      </c>
      <c r="R628" s="19">
        <f t="shared" si="68"/>
        <v>2.5526883762159835E-2</v>
      </c>
      <c r="S628" s="22">
        <v>3.5635673814877533E-2</v>
      </c>
      <c r="T628" s="19">
        <f t="shared" si="69"/>
        <v>4.2691262675969455E-2</v>
      </c>
      <c r="U628" s="24">
        <v>3.805013582567196E-2</v>
      </c>
      <c r="V628" s="24">
        <f t="shared" si="70"/>
        <v>4.2713999465198826E-2</v>
      </c>
      <c r="W628" s="23">
        <f t="shared" si="71"/>
        <v>3.4914270945420878E-3</v>
      </c>
      <c r="X628" s="24">
        <v>3.7563473776795808E-2</v>
      </c>
      <c r="Y628" s="24">
        <f t="shared" si="72"/>
        <v>4.2708864355309073E-2</v>
      </c>
      <c r="Z628" s="23">
        <f t="shared" si="73"/>
        <v>3.4910070754976541E-3</v>
      </c>
      <c r="AA628" s="36"/>
    </row>
    <row r="629" spans="4:27" ht="13.9" customHeight="1">
      <c r="D629" s="8"/>
      <c r="E629" s="9"/>
      <c r="F629" s="19"/>
      <c r="G629" s="19"/>
      <c r="H629" s="19"/>
      <c r="J629" s="45"/>
      <c r="K629" s="45"/>
      <c r="L629" s="45"/>
      <c r="M629" s="43"/>
      <c r="O629" s="12">
        <f t="shared" si="67"/>
        <v>51.333333333333336</v>
      </c>
      <c r="P629" s="13">
        <v>616</v>
      </c>
      <c r="Q629" s="22">
        <v>2.736129072108362E-2</v>
      </c>
      <c r="R629" s="19">
        <f t="shared" si="68"/>
        <v>2.5550830498923149E-2</v>
      </c>
      <c r="S629" s="22">
        <v>3.5647088915570224E-2</v>
      </c>
      <c r="T629" s="19">
        <f t="shared" si="69"/>
        <v>4.2694578128012584E-2</v>
      </c>
      <c r="U629" s="24">
        <v>3.8057690102771824E-2</v>
      </c>
      <c r="V629" s="24">
        <f t="shared" si="70"/>
        <v>4.2716863272688643E-2</v>
      </c>
      <c r="W629" s="23">
        <f t="shared" si="71"/>
        <v>3.4916590965379246E-3</v>
      </c>
      <c r="X629" s="24">
        <v>3.7571806073767311E-2</v>
      </c>
      <c r="Y629" s="24">
        <f t="shared" si="72"/>
        <v>4.2711828726700762E-2</v>
      </c>
      <c r="Z629" s="23">
        <f t="shared" si="73"/>
        <v>3.4912472664820893E-3</v>
      </c>
      <c r="AA629" s="36"/>
    </row>
    <row r="630" spans="4:27" ht="13.9" customHeight="1">
      <c r="D630" s="8"/>
      <c r="E630" s="9"/>
      <c r="F630" s="19"/>
      <c r="G630" s="19"/>
      <c r="H630" s="19"/>
      <c r="J630" s="45"/>
      <c r="K630" s="45"/>
      <c r="L630" s="45"/>
      <c r="M630" s="43"/>
      <c r="O630" s="12">
        <f t="shared" si="67"/>
        <v>51.416666666666664</v>
      </c>
      <c r="P630" s="13">
        <v>617</v>
      </c>
      <c r="Q630" s="22">
        <v>2.735835384143348E-2</v>
      </c>
      <c r="R630" s="19">
        <f t="shared" si="68"/>
        <v>2.5574568312835666E-2</v>
      </c>
      <c r="S630" s="22">
        <v>3.565847247677767E-2</v>
      </c>
      <c r="T630" s="19">
        <f t="shared" si="69"/>
        <v>4.2697857901895508E-2</v>
      </c>
      <c r="U630" s="24">
        <v>3.8065224568261558E-2</v>
      </c>
      <c r="V630" s="24">
        <f t="shared" si="70"/>
        <v>4.2719698344214407E-2</v>
      </c>
      <c r="W630" s="23">
        <f t="shared" si="71"/>
        <v>3.4918887698800471E-3</v>
      </c>
      <c r="X630" s="24">
        <v>3.7580116209114278E-2</v>
      </c>
      <c r="Y630" s="24">
        <f t="shared" si="72"/>
        <v>4.2714762851710608E-2</v>
      </c>
      <c r="Z630" s="23">
        <f t="shared" si="73"/>
        <v>3.4914850059708513E-3</v>
      </c>
      <c r="AA630" s="36"/>
    </row>
    <row r="631" spans="4:27" ht="13.9" customHeight="1">
      <c r="D631" s="8"/>
      <c r="E631" s="9"/>
      <c r="F631" s="19"/>
      <c r="G631" s="19"/>
      <c r="H631" s="19"/>
      <c r="J631" s="45"/>
      <c r="K631" s="45"/>
      <c r="L631" s="45"/>
      <c r="M631" s="43"/>
      <c r="O631" s="12">
        <f t="shared" si="67"/>
        <v>51.5</v>
      </c>
      <c r="P631" s="13">
        <v>618</v>
      </c>
      <c r="Q631" s="22">
        <v>2.7355464952449449E-2</v>
      </c>
      <c r="R631" s="19">
        <f t="shared" si="68"/>
        <v>2.5598099112693617E-2</v>
      </c>
      <c r="S631" s="22">
        <v>3.5669824593814292E-2</v>
      </c>
      <c r="T631" s="19">
        <f t="shared" si="69"/>
        <v>4.2701102383024825E-2</v>
      </c>
      <c r="U631" s="24">
        <v>3.8072739271845624E-2</v>
      </c>
      <c r="V631" s="24">
        <f t="shared" si="70"/>
        <v>4.272250496898744E-2</v>
      </c>
      <c r="W631" s="23">
        <f t="shared" si="71"/>
        <v>3.4921161380687682E-3</v>
      </c>
      <c r="X631" s="24">
        <v>3.7588404241494233E-2</v>
      </c>
      <c r="Y631" s="24">
        <f t="shared" si="72"/>
        <v>4.2717667039761764E-2</v>
      </c>
      <c r="Z631" s="23">
        <f t="shared" si="73"/>
        <v>3.4917203191213719E-3</v>
      </c>
      <c r="AA631" s="36"/>
    </row>
    <row r="632" spans="4:27" ht="13.9" customHeight="1">
      <c r="D632" s="8"/>
      <c r="E632" s="9"/>
      <c r="F632" s="19"/>
      <c r="G632" s="19"/>
      <c r="H632" s="19"/>
      <c r="J632" s="45"/>
      <c r="K632" s="45"/>
      <c r="L632" s="45"/>
      <c r="M632" s="43"/>
      <c r="O632" s="12">
        <f t="shared" si="67"/>
        <v>51.583333333333336</v>
      </c>
      <c r="P632" s="13">
        <v>619</v>
      </c>
      <c r="Q632" s="22">
        <v>2.7352623485285665E-2</v>
      </c>
      <c r="R632" s="19">
        <f t="shared" si="68"/>
        <v>2.562142478859486E-2</v>
      </c>
      <c r="S632" s="22">
        <v>3.5681145361998068E-2</v>
      </c>
      <c r="T632" s="19">
        <f t="shared" si="69"/>
        <v>4.2704311952774576E-2</v>
      </c>
      <c r="U632" s="24">
        <v>3.8080234263372592E-2</v>
      </c>
      <c r="V632" s="24">
        <f t="shared" si="70"/>
        <v>4.2725283433815875E-2</v>
      </c>
      <c r="W632" s="23">
        <f t="shared" si="71"/>
        <v>3.4923412243155205E-3</v>
      </c>
      <c r="X632" s="24">
        <v>3.7596670229683271E-2</v>
      </c>
      <c r="Y632" s="24">
        <f t="shared" si="72"/>
        <v>4.272054159793881E-2</v>
      </c>
      <c r="Z632" s="23">
        <f t="shared" si="73"/>
        <v>3.4919532307675638E-3</v>
      </c>
      <c r="AA632" s="36"/>
    </row>
    <row r="633" spans="4:27" ht="13.9" customHeight="1">
      <c r="D633" s="8"/>
      <c r="E633" s="9"/>
      <c r="F633" s="19"/>
      <c r="G633" s="19"/>
      <c r="H633" s="19"/>
      <c r="J633" s="45"/>
      <c r="K633" s="45"/>
      <c r="L633" s="45"/>
      <c r="M633" s="43"/>
      <c r="O633" s="12">
        <f t="shared" si="67"/>
        <v>51.666666666666664</v>
      </c>
      <c r="P633" s="13">
        <v>620</v>
      </c>
      <c r="Q633" s="22">
        <v>2.7349828877853533E-2</v>
      </c>
      <c r="R633" s="19">
        <f t="shared" si="68"/>
        <v>2.5644547211437052E-2</v>
      </c>
      <c r="S633" s="22">
        <v>3.5692434876643864E-2</v>
      </c>
      <c r="T633" s="19">
        <f t="shared" si="69"/>
        <v>4.2707486988209808E-2</v>
      </c>
      <c r="U633" s="24">
        <v>3.8087709592830254E-2</v>
      </c>
      <c r="V633" s="24">
        <f t="shared" si="70"/>
        <v>4.2728034022454731E-2</v>
      </c>
      <c r="W633" s="23">
        <f t="shared" si="71"/>
        <v>3.4925640516383361E-3</v>
      </c>
      <c r="X633" s="24">
        <v>3.7604914232571618E-2</v>
      </c>
      <c r="Y633" s="24">
        <f t="shared" si="72"/>
        <v>4.2723386829480514E-2</v>
      </c>
      <c r="Z633" s="23">
        <f t="shared" si="73"/>
        <v>3.4921837655554899E-3</v>
      </c>
      <c r="AA633" s="36"/>
    </row>
    <row r="634" spans="4:27" ht="13.9" customHeight="1">
      <c r="D634" s="8"/>
      <c r="E634" s="9"/>
      <c r="F634" s="19"/>
      <c r="G634" s="19"/>
      <c r="H634" s="19"/>
      <c r="J634" s="45"/>
      <c r="K634" s="45"/>
      <c r="L634" s="45"/>
      <c r="M634" s="43"/>
      <c r="O634" s="12">
        <f t="shared" si="67"/>
        <v>51.75</v>
      </c>
      <c r="P634" s="13">
        <v>621</v>
      </c>
      <c r="Q634" s="22">
        <v>2.7347080574734894E-2</v>
      </c>
      <c r="R634" s="19">
        <f t="shared" si="68"/>
        <v>2.5667468233764756E-2</v>
      </c>
      <c r="S634" s="22">
        <v>3.5703693233056555E-2</v>
      </c>
      <c r="T634" s="19">
        <f t="shared" si="69"/>
        <v>4.2710627862631467E-2</v>
      </c>
      <c r="U634" s="24">
        <v>3.8095165310339185E-2</v>
      </c>
      <c r="V634" s="24">
        <f t="shared" si="70"/>
        <v>4.2730757015681409E-2</v>
      </c>
      <c r="W634" s="23">
        <f t="shared" si="71"/>
        <v>3.4927846428103315E-3</v>
      </c>
      <c r="X634" s="24">
        <v>3.7613136309156081E-2</v>
      </c>
      <c r="Y634" s="24">
        <f t="shared" si="72"/>
        <v>4.2726203035059251E-2</v>
      </c>
      <c r="Z634" s="23">
        <f t="shared" si="73"/>
        <v>3.4924119478223492E-3</v>
      </c>
      <c r="AA634" s="36"/>
    </row>
    <row r="635" spans="4:27" ht="13.9" customHeight="1">
      <c r="D635" s="8"/>
      <c r="E635" s="9"/>
      <c r="F635" s="19"/>
      <c r="G635" s="19"/>
      <c r="H635" s="19"/>
      <c r="J635" s="45"/>
      <c r="K635" s="45"/>
      <c r="L635" s="45"/>
      <c r="M635" s="43"/>
      <c r="O635" s="12">
        <f t="shared" si="67"/>
        <v>51.833333333333336</v>
      </c>
      <c r="P635" s="13">
        <v>622</v>
      </c>
      <c r="Q635" s="22">
        <v>2.7344378027098992E-2</v>
      </c>
      <c r="R635" s="19">
        <f t="shared" si="68"/>
        <v>2.5690189690254384E-2</v>
      </c>
      <c r="S635" s="22">
        <v>3.5714920526525251E-2</v>
      </c>
      <c r="T635" s="19">
        <f t="shared" si="69"/>
        <v>4.2713734944805681E-2</v>
      </c>
      <c r="U635" s="24">
        <v>3.8102601466147634E-2</v>
      </c>
      <c r="V635" s="24">
        <f t="shared" si="70"/>
        <v>4.2733452691197771E-2</v>
      </c>
      <c r="W635" s="23">
        <f t="shared" si="71"/>
        <v>3.4930030203654816E-3</v>
      </c>
      <c r="X635" s="24">
        <v>3.7621336518535609E-2</v>
      </c>
      <c r="Y635" s="24">
        <f t="shared" si="72"/>
        <v>4.2728990511795129E-2</v>
      </c>
      <c r="Z635" s="23">
        <f t="shared" si="73"/>
        <v>3.4926378016990611E-3</v>
      </c>
      <c r="AA635" s="36"/>
    </row>
    <row r="636" spans="4:27" ht="13.9" customHeight="1">
      <c r="D636" s="8"/>
      <c r="E636" s="9"/>
      <c r="F636" s="19"/>
      <c r="G636" s="19"/>
      <c r="H636" s="19"/>
      <c r="J636" s="45"/>
      <c r="K636" s="45"/>
      <c r="L636" s="45"/>
      <c r="M636" s="43"/>
      <c r="O636" s="12">
        <f t="shared" si="67"/>
        <v>51.916666666666664</v>
      </c>
      <c r="P636" s="13">
        <v>623</v>
      </c>
      <c r="Q636" s="22">
        <v>2.7341720692619642E-2</v>
      </c>
      <c r="R636" s="19">
        <f t="shared" si="68"/>
        <v>2.571271339693193E-2</v>
      </c>
      <c r="S636" s="22">
        <v>3.572611685231597E-2</v>
      </c>
      <c r="T636" s="19">
        <f t="shared" si="69"/>
        <v>4.2716808599907896E-2</v>
      </c>
      <c r="U636" s="24">
        <v>3.8110018110624866E-2</v>
      </c>
      <c r="V636" s="24">
        <f t="shared" si="70"/>
        <v>4.2736121324330245E-2</v>
      </c>
      <c r="W636" s="23">
        <f t="shared" si="71"/>
        <v>3.4932192065906253E-3</v>
      </c>
      <c r="X636" s="24">
        <v>3.7629514919904405E-2</v>
      </c>
      <c r="Y636" s="24">
        <f t="shared" si="72"/>
        <v>4.2731749553849063E-2</v>
      </c>
      <c r="Z636" s="23">
        <f t="shared" si="73"/>
        <v>3.4928613510312179E-3</v>
      </c>
      <c r="AA636" s="36"/>
    </row>
    <row r="637" spans="4:27" ht="13.9" customHeight="1">
      <c r="D637" s="8"/>
      <c r="E637" s="9"/>
      <c r="F637" s="19"/>
      <c r="G637" s="19"/>
      <c r="H637" s="19"/>
      <c r="J637" s="45"/>
      <c r="K637" s="45"/>
      <c r="L637" s="45"/>
      <c r="M637" s="43"/>
      <c r="O637" s="12">
        <f t="shared" si="67"/>
        <v>52</v>
      </c>
      <c r="P637" s="13">
        <v>624</v>
      </c>
      <c r="Q637" s="22">
        <v>2.7339108035392856E-2</v>
      </c>
      <c r="R637" s="19">
        <f t="shared" si="68"/>
        <v>2.5735041152924243E-2</v>
      </c>
      <c r="S637" s="22">
        <v>3.5737282305666529E-2</v>
      </c>
      <c r="T637" s="19">
        <f t="shared" si="69"/>
        <v>4.271984918881877E-2</v>
      </c>
      <c r="U637" s="24">
        <v>3.811741529425694E-2</v>
      </c>
      <c r="V637" s="24">
        <f t="shared" si="70"/>
        <v>4.2738763187250006E-2</v>
      </c>
      <c r="W637" s="23">
        <f t="shared" si="71"/>
        <v>3.4934332235816434E-3</v>
      </c>
      <c r="X637" s="24">
        <v>3.7637671572546827E-2</v>
      </c>
      <c r="Y637" s="24">
        <f t="shared" si="72"/>
        <v>4.273448045259598E-2</v>
      </c>
      <c r="Z637" s="23">
        <f t="shared" si="73"/>
        <v>3.4930826194266018E-3</v>
      </c>
      <c r="AA637" s="36"/>
    </row>
    <row r="638" spans="4:27" ht="13.9" customHeight="1">
      <c r="D638" s="8"/>
      <c r="E638" s="9"/>
      <c r="F638" s="19"/>
      <c r="G638" s="19"/>
      <c r="H638" s="19"/>
      <c r="J638" s="45"/>
      <c r="K638" s="45"/>
      <c r="L638" s="45"/>
      <c r="M638" s="43"/>
      <c r="O638" s="12">
        <f t="shared" si="67"/>
        <v>52.083333333333336</v>
      </c>
      <c r="P638" s="13">
        <v>625</v>
      </c>
      <c r="Q638" s="22">
        <v>2.7336539525857129E-2</v>
      </c>
      <c r="R638" s="19">
        <f t="shared" si="68"/>
        <v>2.5757174738206157E-2</v>
      </c>
      <c r="S638" s="22">
        <v>3.5748416981779441E-2</v>
      </c>
      <c r="T638" s="19">
        <f t="shared" si="69"/>
        <v>4.2722857068625997E-2</v>
      </c>
      <c r="U638" s="24">
        <v>3.8124793067640494E-2</v>
      </c>
      <c r="V638" s="24">
        <f t="shared" si="70"/>
        <v>4.2741378550142484E-2</v>
      </c>
      <c r="W638" s="23">
        <f t="shared" si="71"/>
        <v>3.4936450931810636E-3</v>
      </c>
      <c r="X638" s="24">
        <v>3.7645806535831827E-2</v>
      </c>
      <c r="Y638" s="24">
        <f t="shared" si="72"/>
        <v>4.2737183496067033E-2</v>
      </c>
      <c r="Z638" s="23">
        <f t="shared" si="73"/>
        <v>3.4933016302696185E-3</v>
      </c>
      <c r="AA638" s="36"/>
    </row>
    <row r="639" spans="4:27" ht="13.9" customHeight="1">
      <c r="D639" s="8"/>
      <c r="E639" s="9"/>
      <c r="F639" s="19"/>
      <c r="G639" s="19"/>
      <c r="H639" s="19"/>
      <c r="J639" s="45"/>
      <c r="K639" s="45"/>
      <c r="L639" s="45"/>
      <c r="M639" s="43"/>
      <c r="O639" s="12">
        <f t="shared" si="67"/>
        <v>52.166666666666664</v>
      </c>
      <c r="P639" s="13">
        <v>626</v>
      </c>
      <c r="Q639" s="22">
        <v>2.7334014640712168E-2</v>
      </c>
      <c r="R639" s="19">
        <f t="shared" si="68"/>
        <v>2.5779115916617856E-2</v>
      </c>
      <c r="S639" s="22">
        <v>3.5759520975816805E-2</v>
      </c>
      <c r="T639" s="19">
        <f t="shared" si="69"/>
        <v>4.2725832592703128E-2</v>
      </c>
      <c r="U639" s="24">
        <v>3.8132151481478527E-2</v>
      </c>
      <c r="V639" s="24">
        <f t="shared" si="70"/>
        <v>4.2743967679072625E-2</v>
      </c>
      <c r="W639" s="23">
        <f t="shared" si="71"/>
        <v>3.4938548370719857E-3</v>
      </c>
      <c r="X639" s="24">
        <v>3.7653919869207408E-2</v>
      </c>
      <c r="Y639" s="24">
        <f t="shared" si="72"/>
        <v>4.2739858969618183E-2</v>
      </c>
      <c r="Z639" s="23">
        <f t="shared" si="73"/>
        <v>3.4935184066753333E-3</v>
      </c>
      <c r="AA639" s="36"/>
    </row>
    <row r="640" spans="4:27" ht="13.9" customHeight="1">
      <c r="D640" s="8"/>
      <c r="E640" s="9"/>
      <c r="F640" s="19"/>
      <c r="G640" s="19"/>
      <c r="H640" s="19"/>
      <c r="J640" s="45"/>
      <c r="K640" s="45"/>
      <c r="L640" s="45"/>
      <c r="M640" s="43"/>
      <c r="O640" s="12">
        <f t="shared" si="67"/>
        <v>52.25</v>
      </c>
      <c r="P640" s="13">
        <v>627</v>
      </c>
      <c r="Q640" s="22">
        <v>2.7331532862842067E-2</v>
      </c>
      <c r="R640" s="19">
        <f t="shared" si="68"/>
        <v>2.5800866434265934E-2</v>
      </c>
      <c r="S640" s="22">
        <v>3.5770594382893872E-2</v>
      </c>
      <c r="T640" s="19">
        <f t="shared" si="69"/>
        <v>4.2728776110300126E-2</v>
      </c>
      <c r="U640" s="24">
        <v>3.8139490586573732E-2</v>
      </c>
      <c r="V640" s="24">
        <f t="shared" si="70"/>
        <v>4.2746530838544405E-2</v>
      </c>
      <c r="W640" s="23">
        <f t="shared" si="71"/>
        <v>3.494062476606663E-3</v>
      </c>
      <c r="X640" s="24">
        <v>3.7662011632195291E-2</v>
      </c>
      <c r="Y640" s="24">
        <f t="shared" si="72"/>
        <v>4.2742507155380416E-2</v>
      </c>
      <c r="Z640" s="23">
        <f t="shared" si="73"/>
        <v>3.4937329715445387E-3</v>
      </c>
      <c r="AA640" s="36"/>
    </row>
    <row r="641" spans="4:27" ht="13.9" customHeight="1">
      <c r="D641" s="8"/>
      <c r="E641" s="9"/>
      <c r="F641" s="19"/>
      <c r="G641" s="19"/>
      <c r="H641" s="19"/>
      <c r="J641" s="45"/>
      <c r="K641" s="45"/>
      <c r="L641" s="45"/>
      <c r="M641" s="43"/>
      <c r="O641" s="12">
        <f t="shared" si="67"/>
        <v>52.333333333333336</v>
      </c>
      <c r="P641" s="13">
        <v>628</v>
      </c>
      <c r="Q641" s="22">
        <v>2.7329093681237593E-2</v>
      </c>
      <c r="R641" s="19">
        <f t="shared" si="68"/>
        <v>2.5822428019969923E-2</v>
      </c>
      <c r="S641" s="22">
        <v>3.5781637298073932E-2</v>
      </c>
      <c r="T641" s="19">
        <f t="shared" si="69"/>
        <v>4.2731687967000775E-2</v>
      </c>
      <c r="U641" s="24">
        <v>3.8146810433824285E-2</v>
      </c>
      <c r="V641" s="24">
        <f t="shared" si="70"/>
        <v>4.2749068290226511E-2</v>
      </c>
      <c r="W641" s="23">
        <f t="shared" si="71"/>
        <v>3.4942680330114495E-3</v>
      </c>
      <c r="X641" s="24">
        <v>3.7670081884385587E-2</v>
      </c>
      <c r="Y641" s="24">
        <f t="shared" si="72"/>
        <v>4.274512833269406E-2</v>
      </c>
      <c r="Z641" s="23">
        <f t="shared" si="73"/>
        <v>3.4939453475189008E-3</v>
      </c>
      <c r="AA641" s="36"/>
    </row>
    <row r="642" spans="4:27" ht="13.9" customHeight="1">
      <c r="D642" s="8"/>
      <c r="E642" s="9"/>
      <c r="F642" s="19"/>
      <c r="G642" s="19"/>
      <c r="H642" s="19"/>
      <c r="J642" s="45"/>
      <c r="K642" s="45"/>
      <c r="L642" s="45"/>
      <c r="M642" s="43"/>
      <c r="O642" s="12">
        <f t="shared" si="67"/>
        <v>52.416666666666664</v>
      </c>
      <c r="P642" s="13">
        <v>629</v>
      </c>
      <c r="Q642" s="22">
        <v>2.7326696590918909E-2</v>
      </c>
      <c r="R642" s="19">
        <f t="shared" si="68"/>
        <v>2.5843802385712378E-2</v>
      </c>
      <c r="S642" s="22">
        <v>3.5792649816362321E-2</v>
      </c>
      <c r="T642" s="19">
        <f t="shared" si="69"/>
        <v>4.2734568504513071E-2</v>
      </c>
      <c r="U642" s="24">
        <v>3.8154111074219177E-2</v>
      </c>
      <c r="V642" s="24">
        <f t="shared" si="70"/>
        <v>4.2751580292459845E-2</v>
      </c>
      <c r="W642" s="23">
        <f t="shared" si="71"/>
        <v>3.4944715272853255E-3</v>
      </c>
      <c r="X642" s="24">
        <v>3.7678130685431688E-2</v>
      </c>
      <c r="Y642" s="24">
        <f t="shared" si="72"/>
        <v>4.2747722778372133E-2</v>
      </c>
      <c r="Z642" s="23">
        <f t="shared" si="73"/>
        <v>3.4941555570158211E-3</v>
      </c>
      <c r="AA642" s="36"/>
    </row>
    <row r="643" spans="4:27" ht="13.9" customHeight="1">
      <c r="D643" s="8"/>
      <c r="E643" s="9"/>
      <c r="F643" s="19"/>
      <c r="G643" s="19"/>
      <c r="H643" s="19"/>
      <c r="J643" s="45"/>
      <c r="K643" s="45"/>
      <c r="L643" s="45"/>
      <c r="M643" s="43"/>
      <c r="O643" s="12">
        <f t="shared" si="67"/>
        <v>52.5</v>
      </c>
      <c r="P643" s="13">
        <v>630</v>
      </c>
      <c r="Q643" s="22">
        <v>2.7324341092861193E-2</v>
      </c>
      <c r="R643" s="19">
        <f t="shared" si="68"/>
        <v>2.5864991226946854E-2</v>
      </c>
      <c r="S643" s="22">
        <v>3.5803632032700872E-2</v>
      </c>
      <c r="T643" s="19">
        <f t="shared" si="69"/>
        <v>4.2737418061073118E-2</v>
      </c>
      <c r="U643" s="24">
        <v>3.8161392558832441E-2</v>
      </c>
      <c r="V643" s="24">
        <f t="shared" si="70"/>
        <v>4.2754067101585358E-2</v>
      </c>
      <c r="W643" s="23">
        <f t="shared" si="71"/>
        <v>3.4946729801601517E-3</v>
      </c>
      <c r="X643" s="24">
        <v>3.768615809504583E-2</v>
      </c>
      <c r="Y643" s="24">
        <f t="shared" si="72"/>
        <v>4.2750290765393606E-2</v>
      </c>
      <c r="Z643" s="23">
        <f t="shared" si="73"/>
        <v>3.49436362224953E-3</v>
      </c>
      <c r="AA643" s="36"/>
    </row>
    <row r="644" spans="4:27" ht="13.9" customHeight="1">
      <c r="D644" s="8"/>
      <c r="E644" s="9"/>
      <c r="F644" s="19"/>
      <c r="G644" s="19"/>
      <c r="H644" s="19"/>
      <c r="J644" s="45"/>
      <c r="K644" s="45"/>
      <c r="L644" s="45"/>
      <c r="M644" s="43"/>
      <c r="O644" s="12">
        <f t="shared" si="67"/>
        <v>52.583333333333336</v>
      </c>
      <c r="P644" s="13">
        <v>631</v>
      </c>
      <c r="Q644" s="22">
        <v>2.7322026693919588E-2</v>
      </c>
      <c r="R644" s="19">
        <f t="shared" si="68"/>
        <v>2.588599622251353E-2</v>
      </c>
      <c r="S644" s="22">
        <v>3.5814584041963027E-2</v>
      </c>
      <c r="T644" s="19">
        <f t="shared" si="69"/>
        <v>4.2740236971029244E-2</v>
      </c>
      <c r="U644" s="24">
        <v>3.8168654938818714E-2</v>
      </c>
      <c r="V644" s="24">
        <f t="shared" si="70"/>
        <v>4.275652897131188E-2</v>
      </c>
      <c r="W644" s="23">
        <f t="shared" si="71"/>
        <v>3.4948724122068064E-3</v>
      </c>
      <c r="X644" s="24">
        <v>3.769416417299265E-2</v>
      </c>
      <c r="Y644" s="24">
        <f t="shared" si="72"/>
        <v>4.2752832565111198E-2</v>
      </c>
      <c r="Z644" s="23">
        <f t="shared" si="73"/>
        <v>3.4945695651267261E-3</v>
      </c>
      <c r="AA644" s="36"/>
    </row>
    <row r="645" spans="4:27" ht="13.9" customHeight="1">
      <c r="D645" s="8"/>
      <c r="E645" s="9"/>
      <c r="F645" s="19"/>
      <c r="G645" s="19"/>
      <c r="H645" s="19"/>
      <c r="J645" s="45"/>
      <c r="K645" s="45"/>
      <c r="L645" s="45"/>
      <c r="M645" s="43"/>
      <c r="O645" s="12">
        <f t="shared" si="67"/>
        <v>52.666666666666664</v>
      </c>
      <c r="P645" s="13">
        <v>632</v>
      </c>
      <c r="Q645" s="22">
        <v>2.7319752906756811E-2</v>
      </c>
      <c r="R645" s="19">
        <f t="shared" si="68"/>
        <v>2.5906819034830608E-2</v>
      </c>
      <c r="S645" s="22">
        <v>3.5825505938948288E-2</v>
      </c>
      <c r="T645" s="19">
        <f t="shared" si="69"/>
        <v>4.2743025565086024E-2</v>
      </c>
      <c r="U645" s="24">
        <v>3.8175898265408792E-2</v>
      </c>
      <c r="V645" s="24">
        <f t="shared" si="70"/>
        <v>4.2758966152408373E-2</v>
      </c>
      <c r="W645" s="23">
        <f t="shared" si="71"/>
        <v>3.4950698437850036E-3</v>
      </c>
      <c r="X645" s="24">
        <v>3.7702148979085859E-2</v>
      </c>
      <c r="Y645" s="24">
        <f t="shared" si="72"/>
        <v>4.2755348445303154E-2</v>
      </c>
      <c r="Z645" s="23">
        <f t="shared" si="73"/>
        <v>3.4947734074228798E-3</v>
      </c>
      <c r="AA645" s="36"/>
    </row>
    <row r="646" spans="4:27" ht="13.9" customHeight="1">
      <c r="D646" s="8"/>
      <c r="E646" s="9"/>
      <c r="F646" s="19"/>
      <c r="G646" s="19"/>
      <c r="H646" s="19"/>
      <c r="J646" s="45"/>
      <c r="K646" s="45"/>
      <c r="L646" s="45"/>
      <c r="M646" s="43"/>
      <c r="O646" s="12">
        <f t="shared" si="67"/>
        <v>52.75</v>
      </c>
      <c r="P646" s="13">
        <v>633</v>
      </c>
      <c r="Q646" s="22">
        <v>2.7317519249770106E-2</v>
      </c>
      <c r="R646" s="19">
        <f t="shared" si="68"/>
        <v>2.5927461310457423E-2</v>
      </c>
      <c r="S646" s="22">
        <v>3.5836397818376886E-2</v>
      </c>
      <c r="T646" s="19">
        <f t="shared" si="69"/>
        <v>4.2745784170412637E-2</v>
      </c>
      <c r="U646" s="24">
        <v>3.8183122589904528E-2</v>
      </c>
      <c r="V646" s="24">
        <f t="shared" si="70"/>
        <v>4.2761378893867219E-2</v>
      </c>
      <c r="W646" s="23">
        <f t="shared" si="71"/>
        <v>3.4952652950182017E-3</v>
      </c>
      <c r="X646" s="24">
        <v>3.7710112573182908E-2</v>
      </c>
      <c r="Y646" s="24">
        <f t="shared" si="72"/>
        <v>4.2757838671283466E-2</v>
      </c>
      <c r="Z646" s="23">
        <f t="shared" si="73"/>
        <v>3.4949751706270238E-3</v>
      </c>
      <c r="AA646" s="36"/>
    </row>
    <row r="647" spans="4:27" ht="13.9" customHeight="1">
      <c r="D647" s="8"/>
      <c r="E647" s="9"/>
      <c r="F647" s="19"/>
      <c r="G647" s="19"/>
      <c r="H647" s="19"/>
      <c r="J647" s="45"/>
      <c r="K647" s="45"/>
      <c r="L647" s="45"/>
      <c r="M647" s="43"/>
      <c r="O647" s="12">
        <f t="shared" si="67"/>
        <v>52.833333333333336</v>
      </c>
      <c r="P647" s="13">
        <v>634</v>
      </c>
      <c r="Q647" s="22">
        <v>2.7315325247020628E-2</v>
      </c>
      <c r="R647" s="19">
        <f t="shared" si="68"/>
        <v>2.5947924679502465E-2</v>
      </c>
      <c r="S647" s="22">
        <v>3.5847259774885565E-2</v>
      </c>
      <c r="T647" s="19">
        <f t="shared" si="69"/>
        <v>4.2748513110804298E-2</v>
      </c>
      <c r="U647" s="24">
        <v>3.8190327963675275E-2</v>
      </c>
      <c r="V647" s="24">
        <f t="shared" si="70"/>
        <v>4.2763767441044154E-2</v>
      </c>
      <c r="W647" s="23">
        <f t="shared" si="71"/>
        <v>3.4954587858873065E-3</v>
      </c>
      <c r="X647" s="24">
        <v>3.7718055015180108E-2</v>
      </c>
      <c r="Y647" s="24">
        <f t="shared" si="72"/>
        <v>4.2760303505544828E-2</v>
      </c>
      <c r="Z647" s="23">
        <f t="shared" si="73"/>
        <v>3.4951748760299051E-3</v>
      </c>
      <c r="AA647" s="36"/>
    </row>
    <row r="648" spans="4:27" ht="13.9" customHeight="1">
      <c r="D648" s="8"/>
      <c r="E648" s="9"/>
      <c r="F648" s="19"/>
      <c r="G648" s="19"/>
      <c r="H648" s="19"/>
      <c r="J648" s="45"/>
      <c r="K648" s="45"/>
      <c r="L648" s="45"/>
      <c r="M648" s="43"/>
      <c r="O648" s="12">
        <f t="shared" si="67"/>
        <v>52.916666666666664</v>
      </c>
      <c r="P648" s="13">
        <v>635</v>
      </c>
      <c r="Q648" s="22">
        <v>2.731317042816217E-2</v>
      </c>
      <c r="R648" s="19">
        <f t="shared" si="68"/>
        <v>2.596821075650424E-2</v>
      </c>
      <c r="S648" s="22">
        <v>3.5858091903021805E-2</v>
      </c>
      <c r="T648" s="19">
        <f t="shared" si="69"/>
        <v>4.2751212706364283E-2</v>
      </c>
      <c r="U648" s="24">
        <v>3.819751443815167E-2</v>
      </c>
      <c r="V648" s="24">
        <f t="shared" si="70"/>
        <v>4.2766132037791893E-2</v>
      </c>
      <c r="W648" s="23">
        <f t="shared" si="71"/>
        <v>3.4956503360810132E-3</v>
      </c>
      <c r="X648" s="24">
        <v>3.7725976365008407E-2</v>
      </c>
      <c r="Y648" s="24">
        <f t="shared" si="72"/>
        <v>4.2762743207790388E-2</v>
      </c>
      <c r="Z648" s="23">
        <f t="shared" si="73"/>
        <v>3.495372544695563E-3</v>
      </c>
      <c r="AA648" s="36"/>
    </row>
    <row r="649" spans="4:27" ht="13.9" customHeight="1">
      <c r="D649" s="8"/>
      <c r="E649" s="9"/>
      <c r="F649" s="19"/>
      <c r="G649" s="19"/>
      <c r="H649" s="19"/>
      <c r="J649" s="45"/>
      <c r="K649" s="45"/>
      <c r="L649" s="45"/>
      <c r="M649" s="43"/>
      <c r="O649" s="12">
        <f t="shared" si="67"/>
        <v>53</v>
      </c>
      <c r="P649" s="13">
        <v>636</v>
      </c>
      <c r="Q649" s="22">
        <v>2.7311054328372553E-2</v>
      </c>
      <c r="R649" s="19">
        <f t="shared" si="68"/>
        <v>2.5988321139935211E-2</v>
      </c>
      <c r="S649" s="22">
        <v>3.586889429724005E-2</v>
      </c>
      <c r="T649" s="19">
        <f t="shared" si="69"/>
        <v>4.275388327345131E-2</v>
      </c>
      <c r="U649" s="24">
        <v>3.820468206482297E-2</v>
      </c>
      <c r="V649" s="24">
        <f t="shared" si="70"/>
        <v>4.2768472924567869E-2</v>
      </c>
      <c r="W649" s="23">
        <f t="shared" si="71"/>
        <v>3.4958399651672245E-3</v>
      </c>
      <c r="X649" s="24">
        <v>3.7733876682628287E-2</v>
      </c>
      <c r="Y649" s="24">
        <f t="shared" si="72"/>
        <v>4.2765158035668938E-2</v>
      </c>
      <c r="Z649" s="23">
        <f t="shared" si="73"/>
        <v>3.4955681974644381E-3</v>
      </c>
      <c r="AA649" s="36"/>
    </row>
    <row r="650" spans="4:27" ht="13.9" customHeight="1">
      <c r="D650" s="8"/>
      <c r="E650" s="9"/>
      <c r="F650" s="19"/>
      <c r="G650" s="19"/>
      <c r="H650" s="19"/>
      <c r="J650" s="45"/>
      <c r="K650" s="45"/>
      <c r="L650" s="45"/>
      <c r="M650" s="43"/>
      <c r="O650" s="12">
        <f t="shared" si="67"/>
        <v>53.083333333333336</v>
      </c>
      <c r="P650" s="13">
        <v>637</v>
      </c>
      <c r="Q650" s="22">
        <v>2.7308976488284342E-2</v>
      </c>
      <c r="R650" s="19">
        <f t="shared" si="68"/>
        <v>2.6008257413867808E-2</v>
      </c>
      <c r="S650" s="22">
        <v>3.5879667051895492E-2</v>
      </c>
      <c r="T650" s="19">
        <f t="shared" si="69"/>
        <v>4.2756525125501321E-2</v>
      </c>
      <c r="U650" s="24">
        <v>3.821183089523128E-2</v>
      </c>
      <c r="V650" s="24">
        <f t="shared" si="70"/>
        <v>4.2770790340840525E-2</v>
      </c>
      <c r="W650" s="23">
        <f t="shared" si="71"/>
        <v>3.4960276924416167E-3</v>
      </c>
      <c r="X650" s="24">
        <v>3.7741756028026652E-2</v>
      </c>
      <c r="Y650" s="24">
        <f t="shared" si="72"/>
        <v>4.2767548242906628E-2</v>
      </c>
      <c r="Z650" s="23">
        <f t="shared" si="73"/>
        <v>3.4957618550117697E-3</v>
      </c>
      <c r="AA650" s="36"/>
    </row>
    <row r="651" spans="4:27" ht="13.9" customHeight="1">
      <c r="D651" s="8"/>
      <c r="E651" s="9"/>
      <c r="F651" s="19"/>
      <c r="G651" s="19"/>
      <c r="H651" s="19"/>
      <c r="J651" s="45"/>
      <c r="K651" s="45"/>
      <c r="L651" s="45"/>
      <c r="M651" s="43"/>
      <c r="O651" s="12">
        <f t="shared" si="67"/>
        <v>53.166666666666664</v>
      </c>
      <c r="P651" s="13">
        <v>638</v>
      </c>
      <c r="Q651" s="22">
        <v>2.7306936453918462E-2</v>
      </c>
      <c r="R651" s="19">
        <f t="shared" si="68"/>
        <v>2.602802114574243E-2</v>
      </c>
      <c r="S651" s="22">
        <v>3.5890410261241179E-2</v>
      </c>
      <c r="T651" s="19">
        <f t="shared" si="69"/>
        <v>4.2759138572273869E-2</v>
      </c>
      <c r="U651" s="24">
        <v>3.8218960980969108E-2</v>
      </c>
      <c r="V651" s="24">
        <f t="shared" si="70"/>
        <v>4.2773084521840365E-2</v>
      </c>
      <c r="W651" s="23">
        <f t="shared" si="71"/>
        <v>3.4962135371197078E-3</v>
      </c>
      <c r="X651" s="24">
        <v>3.7749614461210834E-2</v>
      </c>
      <c r="Y651" s="24">
        <f t="shared" si="72"/>
        <v>4.2769914081581595E-2</v>
      </c>
      <c r="Z651" s="23">
        <f t="shared" si="73"/>
        <v>3.4959535376974937E-3</v>
      </c>
      <c r="AA651" s="36"/>
    </row>
    <row r="652" spans="4:27" ht="13.9" customHeight="1">
      <c r="D652" s="8"/>
      <c r="E652" s="9"/>
      <c r="F652" s="19"/>
      <c r="G652" s="19"/>
      <c r="H652" s="19"/>
      <c r="J652" s="45"/>
      <c r="K652" s="45"/>
      <c r="L652" s="45"/>
      <c r="M652" s="43"/>
      <c r="O652" s="12">
        <f t="shared" si="67"/>
        <v>53.25</v>
      </c>
      <c r="P652" s="13">
        <v>639</v>
      </c>
      <c r="Q652" s="22">
        <v>2.7304933776616469E-2</v>
      </c>
      <c r="R652" s="19">
        <f t="shared" si="68"/>
        <v>2.6047613888812604E-2</v>
      </c>
      <c r="S652" s="22">
        <v>3.590112401942247E-2</v>
      </c>
      <c r="T652" s="19">
        <f t="shared" si="69"/>
        <v>4.2761723920148764E-2</v>
      </c>
      <c r="U652" s="24">
        <v>3.8226072373673148E-2</v>
      </c>
      <c r="V652" s="24">
        <f t="shared" si="70"/>
        <v>4.2775355701620832E-2</v>
      </c>
      <c r="W652" s="23">
        <f t="shared" si="71"/>
        <v>3.4963975180775098E-3</v>
      </c>
      <c r="X652" s="24">
        <v>3.7757452042205042E-2</v>
      </c>
      <c r="Y652" s="24">
        <f t="shared" si="72"/>
        <v>4.2772255801400316E-2</v>
      </c>
      <c r="Z652" s="23">
        <f t="shared" si="73"/>
        <v>3.4961432657496516E-3</v>
      </c>
      <c r="AA652" s="36"/>
    </row>
    <row r="653" spans="4:27" ht="13.9" customHeight="1">
      <c r="D653" s="8"/>
      <c r="E653" s="9"/>
      <c r="F653" s="19"/>
      <c r="G653" s="19"/>
      <c r="H653" s="19"/>
      <c r="J653" s="45"/>
      <c r="K653" s="45"/>
      <c r="L653" s="45"/>
      <c r="M653" s="43"/>
      <c r="O653" s="12">
        <f t="shared" si="67"/>
        <v>53.333333333333336</v>
      </c>
      <c r="P653" s="13">
        <v>640</v>
      </c>
      <c r="Q653" s="22">
        <v>2.7302968012975493E-2</v>
      </c>
      <c r="R653" s="19">
        <f t="shared" si="68"/>
        <v>2.6067037181018993E-2</v>
      </c>
      <c r="S653" s="22">
        <v>3.5911808420473035E-2</v>
      </c>
      <c r="T653" s="19">
        <f t="shared" si="69"/>
        <v>4.2764281472157384E-2</v>
      </c>
      <c r="U653" s="24">
        <v>3.8233165125021618E-2</v>
      </c>
      <c r="V653" s="24">
        <f t="shared" si="70"/>
        <v>4.277760411180398E-2</v>
      </c>
      <c r="W653" s="23">
        <f t="shared" si="71"/>
        <v>3.4965796540959992E-3</v>
      </c>
      <c r="X653" s="24">
        <v>3.7765268831047027E-2</v>
      </c>
      <c r="Y653" s="24">
        <f t="shared" si="72"/>
        <v>4.2774573648835634E-2</v>
      </c>
      <c r="Z653" s="23">
        <f t="shared" si="73"/>
        <v>3.4963310592053265E-3</v>
      </c>
      <c r="AA653" s="36"/>
    </row>
    <row r="654" spans="4:27" ht="13.9" customHeight="1">
      <c r="D654" s="8"/>
      <c r="E654" s="9"/>
      <c r="F654" s="19"/>
      <c r="G654" s="19"/>
      <c r="H654" s="19"/>
      <c r="J654" s="45"/>
      <c r="K654" s="45"/>
      <c r="L654" s="45"/>
      <c r="M654" s="43"/>
      <c r="O654" s="12">
        <f t="shared" ref="O654:O717" si="74">P654/12</f>
        <v>53.416666666666664</v>
      </c>
      <c r="P654" s="13">
        <v>641</v>
      </c>
      <c r="Q654" s="22">
        <v>2.7301038724783178E-2</v>
      </c>
      <c r="R654" s="19">
        <f t="shared" ref="R654:R717" si="75">(1+Q655)^P655/(1+Q654)^P654-1</f>
        <v>2.6086292545013823E-2</v>
      </c>
      <c r="S654" s="22">
        <v>3.5922463558310413E-2</v>
      </c>
      <c r="T654" s="19">
        <f t="shared" ref="T654:T717" si="76">(1+S655)^P655/(1+S654)^P654-1</f>
        <v>4.276681152830264E-2</v>
      </c>
      <c r="U654" s="24">
        <v>3.8240239286730482E-2</v>
      </c>
      <c r="V654" s="24">
        <f t="shared" ref="V654:V717" si="77">(1+U655)^P655/(1+U654)^P654-1</f>
        <v>4.2779829981013817E-2</v>
      </c>
      <c r="W654" s="23">
        <f t="shared" si="71"/>
        <v>3.4967599637607538E-3</v>
      </c>
      <c r="X654" s="24">
        <v>3.7773064887783203E-2</v>
      </c>
      <c r="Y654" s="24">
        <f t="shared" si="72"/>
        <v>4.2776867867724944E-2</v>
      </c>
      <c r="Z654" s="23">
        <f t="shared" si="73"/>
        <v>3.4965169378422534E-3</v>
      </c>
      <c r="AA654" s="36"/>
    </row>
    <row r="655" spans="4:27" ht="13.9" customHeight="1">
      <c r="D655" s="8"/>
      <c r="E655" s="9"/>
      <c r="F655" s="19"/>
      <c r="G655" s="19"/>
      <c r="H655" s="19"/>
      <c r="J655" s="45"/>
      <c r="K655" s="45"/>
      <c r="L655" s="45"/>
      <c r="M655" s="43"/>
      <c r="O655" s="12">
        <f t="shared" si="74"/>
        <v>53.5</v>
      </c>
      <c r="P655" s="13">
        <v>642</v>
      </c>
      <c r="Q655" s="22">
        <v>2.7299145478952846E-2</v>
      </c>
      <c r="R655" s="19">
        <f t="shared" si="75"/>
        <v>2.6105381489918589E-2</v>
      </c>
      <c r="S655" s="22">
        <v>3.5933089526732243E-2</v>
      </c>
      <c r="T655" s="19">
        <f t="shared" si="76"/>
        <v>4.2769314385028512E-2</v>
      </c>
      <c r="U655" s="24">
        <v>3.8247294910547902E-2</v>
      </c>
      <c r="V655" s="24">
        <f t="shared" si="77"/>
        <v>4.2782033536524322E-2</v>
      </c>
      <c r="W655" s="23">
        <f t="shared" ref="W655:W718" si="78">(1+V654)^(1/12)-1</f>
        <v>3.4969384654170987E-3</v>
      </c>
      <c r="X655" s="24">
        <v>3.7780840272463978E-2</v>
      </c>
      <c r="Y655" s="24">
        <f t="shared" ref="Y655:Y718" si="79">(1+X656)^P656/(1+X655)^P655-1</f>
        <v>4.2779138700153929E-2</v>
      </c>
      <c r="Z655" s="23">
        <f t="shared" ref="Z655:Z718" si="80">(1+Y654)^(1/12)-1</f>
        <v>3.4967009212267808E-3</v>
      </c>
      <c r="AA655" s="36"/>
    </row>
    <row r="656" spans="4:27" ht="13.9" customHeight="1">
      <c r="D656" s="8"/>
      <c r="E656" s="9"/>
      <c r="F656" s="19"/>
      <c r="G656" s="19"/>
      <c r="H656" s="19"/>
      <c r="J656" s="45"/>
      <c r="K656" s="45"/>
      <c r="L656" s="45"/>
      <c r="M656" s="43"/>
      <c r="O656" s="12">
        <f t="shared" si="74"/>
        <v>53.583333333333336</v>
      </c>
      <c r="P656" s="13">
        <v>643</v>
      </c>
      <c r="Q656" s="22">
        <v>2.7297287847462437E-2</v>
      </c>
      <c r="R656" s="19">
        <f t="shared" si="75"/>
        <v>2.612430550928968E-2</v>
      </c>
      <c r="S656" s="22">
        <v>3.5943686419411591E-2</v>
      </c>
      <c r="T656" s="19">
        <f t="shared" si="76"/>
        <v>4.2771790335471849E-2</v>
      </c>
      <c r="U656" s="24">
        <v>3.825433204825246E-2</v>
      </c>
      <c r="V656" s="24">
        <f t="shared" si="77"/>
        <v>4.278421500190821E-2</v>
      </c>
      <c r="W656" s="23">
        <f t="shared" si="78"/>
        <v>3.4971151773017795E-3</v>
      </c>
      <c r="X656" s="24">
        <v>3.7788595045141316E-2</v>
      </c>
      <c r="Y656" s="24">
        <f t="shared" si="79"/>
        <v>4.2781386384950437E-2</v>
      </c>
      <c r="Z656" s="23">
        <f t="shared" si="80"/>
        <v>3.4968830287838149E-3</v>
      </c>
      <c r="AA656" s="36"/>
    </row>
    <row r="657" spans="4:27" ht="13.9" customHeight="1">
      <c r="D657" s="8"/>
      <c r="E657" s="9"/>
      <c r="F657" s="19"/>
      <c r="G657" s="19"/>
      <c r="H657" s="19"/>
      <c r="J657" s="45"/>
      <c r="K657" s="45"/>
      <c r="L657" s="45"/>
      <c r="M657" s="43"/>
      <c r="O657" s="12">
        <f t="shared" si="74"/>
        <v>53.666666666666664</v>
      </c>
      <c r="P657" s="13">
        <v>644</v>
      </c>
      <c r="Q657" s="22">
        <v>2.7295465407289887E-2</v>
      </c>
      <c r="R657" s="19">
        <f t="shared" si="75"/>
        <v>2.6143066082560118E-2</v>
      </c>
      <c r="S657" s="22">
        <v>3.5954254329893187E-2</v>
      </c>
      <c r="T657" s="19">
        <f t="shared" si="76"/>
        <v>4.2774239669965297E-2</v>
      </c>
      <c r="U657" s="24">
        <v>3.8261350751647383E-2</v>
      </c>
      <c r="V657" s="24">
        <f t="shared" si="77"/>
        <v>4.2786374600140009E-2</v>
      </c>
      <c r="W657" s="23">
        <f t="shared" si="78"/>
        <v>3.4972901173540016E-3</v>
      </c>
      <c r="X657" s="24">
        <v>3.7796329265863848E-2</v>
      </c>
      <c r="Y657" s="24">
        <f t="shared" si="79"/>
        <v>4.2783611159274759E-2</v>
      </c>
      <c r="Z657" s="23">
        <f t="shared" si="80"/>
        <v>3.4970632796773593E-3</v>
      </c>
      <c r="AA657" s="36"/>
    </row>
    <row r="658" spans="4:27" ht="13.9" customHeight="1">
      <c r="D658" s="8"/>
      <c r="E658" s="9"/>
      <c r="F658" s="19"/>
      <c r="G658" s="19"/>
      <c r="H658" s="19"/>
      <c r="J658" s="45"/>
      <c r="K658" s="45"/>
      <c r="L658" s="45"/>
      <c r="M658" s="43"/>
      <c r="O658" s="12">
        <f t="shared" si="74"/>
        <v>53.75</v>
      </c>
      <c r="P658" s="13">
        <v>645</v>
      </c>
      <c r="Q658" s="22">
        <v>2.729367774035274E-2</v>
      </c>
      <c r="R658" s="19">
        <f t="shared" si="75"/>
        <v>2.6161664675336205E-2</v>
      </c>
      <c r="S658" s="22">
        <v>3.5964793351589641E-2</v>
      </c>
      <c r="T658" s="19">
        <f t="shared" si="76"/>
        <v>4.2776662675811039E-2</v>
      </c>
      <c r="U658" s="24">
        <v>3.8268351072558771E-2</v>
      </c>
      <c r="V658" s="24">
        <f t="shared" si="77"/>
        <v>4.2788512550738789E-2</v>
      </c>
      <c r="W658" s="23">
        <f t="shared" si="78"/>
        <v>3.4974633034652314E-3</v>
      </c>
      <c r="X658" s="24">
        <v>3.780404299467377E-2</v>
      </c>
      <c r="Y658" s="24">
        <f t="shared" si="79"/>
        <v>4.2785813256733807E-2</v>
      </c>
      <c r="Z658" s="23">
        <f t="shared" si="80"/>
        <v>3.4972416929373029E-3</v>
      </c>
      <c r="AA658" s="36"/>
    </row>
    <row r="659" spans="4:27" ht="13.9" customHeight="1">
      <c r="D659" s="8"/>
      <c r="E659" s="9"/>
      <c r="F659" s="19"/>
      <c r="G659" s="19"/>
      <c r="H659" s="19"/>
      <c r="J659" s="45"/>
      <c r="K659" s="45"/>
      <c r="L659" s="45"/>
      <c r="M659" s="43"/>
      <c r="O659" s="12">
        <f t="shared" si="74"/>
        <v>53.833333333333336</v>
      </c>
      <c r="P659" s="13">
        <v>646</v>
      </c>
      <c r="Q659" s="22">
        <v>2.7291924433447745E-2</v>
      </c>
      <c r="R659" s="19">
        <f t="shared" si="75"/>
        <v>2.6180102739133515E-2</v>
      </c>
      <c r="S659" s="22">
        <v>3.5975303577778117E-2</v>
      </c>
      <c r="T659" s="19">
        <f t="shared" si="76"/>
        <v>4.2779059636432137E-2</v>
      </c>
      <c r="U659" s="24">
        <v>3.8275333062830486E-2</v>
      </c>
      <c r="V659" s="24">
        <f t="shared" si="77"/>
        <v>4.2790629071187691E-2</v>
      </c>
      <c r="W659" s="23">
        <f t="shared" si="78"/>
        <v>3.497634753249379E-3</v>
      </c>
      <c r="X659" s="24">
        <v>3.7811736291602172E-2</v>
      </c>
      <c r="Y659" s="24">
        <f t="shared" si="79"/>
        <v>4.2787992909555372E-2</v>
      </c>
      <c r="Z659" s="23">
        <f t="shared" si="80"/>
        <v>3.4974182873079851E-3</v>
      </c>
      <c r="AA659" s="36"/>
    </row>
    <row r="660" spans="4:27" ht="13.9" customHeight="1">
      <c r="D660" s="8"/>
      <c r="E660" s="9"/>
      <c r="F660" s="19"/>
      <c r="G660" s="19"/>
      <c r="H660" s="19"/>
      <c r="J660" s="45"/>
      <c r="K660" s="45"/>
      <c r="L660" s="45"/>
      <c r="M660" s="43"/>
      <c r="O660" s="12">
        <f t="shared" si="74"/>
        <v>53.916666666666664</v>
      </c>
      <c r="P660" s="13">
        <v>647</v>
      </c>
      <c r="Q660" s="22">
        <v>2.7290205078190688E-2</v>
      </c>
      <c r="R660" s="19">
        <f t="shared" si="75"/>
        <v>2.6198381711016072E-2</v>
      </c>
      <c r="S660" s="22">
        <v>3.5985785101595225E-2</v>
      </c>
      <c r="T660" s="19">
        <f t="shared" si="76"/>
        <v>4.2781430832584233E-2</v>
      </c>
      <c r="U660" s="24">
        <v>3.8282296774320823E-2</v>
      </c>
      <c r="V660" s="24">
        <f t="shared" si="77"/>
        <v>4.27927243773365E-2</v>
      </c>
      <c r="W660" s="23">
        <f t="shared" si="78"/>
        <v>3.49780448415693E-3</v>
      </c>
      <c r="X660" s="24">
        <v>3.7819409216666378E-2</v>
      </c>
      <c r="Y660" s="24">
        <f t="shared" si="79"/>
        <v>4.2790150347487899E-2</v>
      </c>
      <c r="Z660" s="23">
        <f t="shared" si="80"/>
        <v>3.4975930814233891E-3</v>
      </c>
      <c r="AA660" s="36"/>
    </row>
    <row r="661" spans="4:27" ht="13.9" customHeight="1">
      <c r="D661" s="8"/>
      <c r="E661" s="9"/>
      <c r="F661" s="19"/>
      <c r="G661" s="19"/>
      <c r="H661" s="19"/>
      <c r="J661" s="45"/>
      <c r="K661" s="45"/>
      <c r="L661" s="45"/>
      <c r="M661" s="43"/>
      <c r="O661" s="12">
        <f t="shared" si="74"/>
        <v>54</v>
      </c>
      <c r="P661" s="13">
        <v>648</v>
      </c>
      <c r="Q661" s="22">
        <v>2.7288519270956879E-2</v>
      </c>
      <c r="R661" s="19">
        <f t="shared" si="75"/>
        <v>2.6216503014918624E-2</v>
      </c>
      <c r="S661" s="22">
        <v>3.5996238016034354E-2</v>
      </c>
      <c r="T661" s="19">
        <f t="shared" si="76"/>
        <v>4.2783776542637764E-2</v>
      </c>
      <c r="U661" s="24">
        <v>3.8289242258900069E-2</v>
      </c>
      <c r="V661" s="24">
        <f t="shared" si="77"/>
        <v>4.2794798682405988E-2</v>
      </c>
      <c r="W661" s="23">
        <f t="shared" si="78"/>
        <v>3.4979725135073636E-3</v>
      </c>
      <c r="X661" s="24">
        <v>3.7827061829866393E-2</v>
      </c>
      <c r="Y661" s="24">
        <f t="shared" si="79"/>
        <v>4.2792285797183194E-2</v>
      </c>
      <c r="Z661" s="23">
        <f t="shared" si="80"/>
        <v>3.4977660937178801E-3</v>
      </c>
      <c r="AA661" s="36"/>
    </row>
    <row r="662" spans="4:27" ht="13.9" customHeight="1">
      <c r="D662" s="8"/>
      <c r="E662" s="9"/>
      <c r="F662" s="19"/>
      <c r="G662" s="19"/>
      <c r="H662" s="19"/>
      <c r="J662" s="45"/>
      <c r="K662" s="45"/>
      <c r="L662" s="45"/>
      <c r="M662" s="43"/>
      <c r="O662" s="12">
        <f t="shared" si="74"/>
        <v>54.083333333333336</v>
      </c>
      <c r="P662" s="13">
        <v>649</v>
      </c>
      <c r="Q662" s="22">
        <v>2.7286866612823646E-2</v>
      </c>
      <c r="R662" s="19">
        <f t="shared" si="75"/>
        <v>2.6234468060892357E-2</v>
      </c>
      <c r="S662" s="22">
        <v>3.6006662413942792E-2</v>
      </c>
      <c r="T662" s="19">
        <f t="shared" si="76"/>
        <v>4.278609704078784E-2</v>
      </c>
      <c r="U662" s="24">
        <v>3.8296169568446059E-2</v>
      </c>
      <c r="V662" s="24">
        <f t="shared" si="77"/>
        <v>4.2796852197375612E-2</v>
      </c>
      <c r="W662" s="23">
        <f t="shared" si="78"/>
        <v>3.4981388584085504E-3</v>
      </c>
      <c r="X662" s="24">
        <v>3.7834694191180684E-2</v>
      </c>
      <c r="Y662" s="24">
        <f t="shared" si="79"/>
        <v>4.2794399483463863E-2</v>
      </c>
      <c r="Z662" s="23">
        <f t="shared" si="80"/>
        <v>3.4979373423775773E-3</v>
      </c>
      <c r="AA662" s="36"/>
    </row>
    <row r="663" spans="4:27" ht="13.9" customHeight="1">
      <c r="D663" s="8"/>
      <c r="E663" s="9"/>
      <c r="F663" s="19"/>
      <c r="G663" s="19"/>
      <c r="H663" s="19"/>
      <c r="J663" s="45"/>
      <c r="K663" s="45"/>
      <c r="L663" s="45"/>
      <c r="M663" s="43"/>
      <c r="O663" s="12">
        <f t="shared" si="74"/>
        <v>54.166666666666664</v>
      </c>
      <c r="P663" s="13">
        <v>650</v>
      </c>
      <c r="Q663" s="22">
        <v>2.7285246709512601E-2</v>
      </c>
      <c r="R663" s="19">
        <f t="shared" si="75"/>
        <v>2.6252278245890937E-2</v>
      </c>
      <c r="S663" s="22">
        <v>3.601705838801661E-2</v>
      </c>
      <c r="T663" s="19">
        <f t="shared" si="76"/>
        <v>4.2788392598997582E-2</v>
      </c>
      <c r="U663" s="24">
        <v>3.8303078754840847E-2</v>
      </c>
      <c r="V663" s="24">
        <f t="shared" si="77"/>
        <v>4.2798885131276831E-2</v>
      </c>
      <c r="W663" s="23">
        <f t="shared" si="78"/>
        <v>3.4983035357891712E-3</v>
      </c>
      <c r="X663" s="24">
        <v>3.7842306360563072E-2</v>
      </c>
      <c r="Y663" s="24">
        <f t="shared" si="79"/>
        <v>4.2796491629169653E-2</v>
      </c>
      <c r="Z663" s="23">
        <f t="shared" si="80"/>
        <v>3.4981068454416064E-3</v>
      </c>
      <c r="AA663" s="36"/>
    </row>
    <row r="664" spans="4:27" ht="13.9" customHeight="1">
      <c r="D664" s="8"/>
      <c r="E664" s="9"/>
      <c r="F664" s="19"/>
      <c r="G664" s="19"/>
      <c r="H664" s="19"/>
      <c r="J664" s="45"/>
      <c r="K664" s="45"/>
      <c r="L664" s="45"/>
      <c r="M664" s="43"/>
      <c r="O664" s="12">
        <f t="shared" si="74"/>
        <v>54.25</v>
      </c>
      <c r="P664" s="13">
        <v>651</v>
      </c>
      <c r="Q664" s="22">
        <v>2.7283659171332797E-2</v>
      </c>
      <c r="R664" s="19">
        <f t="shared" si="75"/>
        <v>2.6269934952842355E-2</v>
      </c>
      <c r="S664" s="22">
        <v>3.6027426030798448E-2</v>
      </c>
      <c r="T664" s="19">
        <f t="shared" si="76"/>
        <v>4.2790663485983815E-2</v>
      </c>
      <c r="U664" s="24">
        <v>3.8309969869967819E-2</v>
      </c>
      <c r="V664" s="24">
        <f t="shared" si="77"/>
        <v>4.2800897691150697E-2</v>
      </c>
      <c r="W664" s="23">
        <f t="shared" si="78"/>
        <v>3.498466562420699E-3</v>
      </c>
      <c r="X664" s="24">
        <v>3.7849898397940063E-2</v>
      </c>
      <c r="Y664" s="24">
        <f t="shared" si="79"/>
        <v>4.2798562454108069E-2</v>
      </c>
      <c r="Z664" s="23">
        <f t="shared" si="80"/>
        <v>3.4982746207901094E-3</v>
      </c>
      <c r="AA664" s="36"/>
    </row>
    <row r="665" spans="4:27" ht="13.9" customHeight="1">
      <c r="D665" s="8"/>
      <c r="E665" s="9"/>
      <c r="F665" s="19"/>
      <c r="G665" s="19"/>
      <c r="H665" s="19"/>
      <c r="J665" s="45"/>
      <c r="K665" s="45"/>
      <c r="L665" s="45"/>
      <c r="M665" s="43"/>
      <c r="O665" s="12">
        <f t="shared" si="74"/>
        <v>54.333333333333336</v>
      </c>
      <c r="P665" s="13">
        <v>652</v>
      </c>
      <c r="Q665" s="22">
        <v>2.7282103613124553E-2</v>
      </c>
      <c r="R665" s="19">
        <f t="shared" si="75"/>
        <v>2.6287439551736957E-2</v>
      </c>
      <c r="S665" s="22">
        <v>3.6037765434673741E-2</v>
      </c>
      <c r="T665" s="19">
        <f t="shared" si="76"/>
        <v>4.2792909967888315E-2</v>
      </c>
      <c r="U665" s="24">
        <v>3.8316842965708364E-2</v>
      </c>
      <c r="V665" s="24">
        <f t="shared" si="77"/>
        <v>4.280289008139615E-2</v>
      </c>
      <c r="W665" s="23">
        <f t="shared" si="78"/>
        <v>3.4986279549151789E-3</v>
      </c>
      <c r="X665" s="24">
        <v>3.7857470363206636E-2</v>
      </c>
      <c r="Y665" s="24">
        <f t="shared" si="79"/>
        <v>4.2800612176131292E-2</v>
      </c>
      <c r="Z665" s="23">
        <f t="shared" si="80"/>
        <v>3.498440686059201E-3</v>
      </c>
      <c r="AA665" s="36"/>
    </row>
    <row r="666" spans="4:27" ht="13.9" customHeight="1">
      <c r="D666" s="8"/>
      <c r="E666" s="9"/>
      <c r="F666" s="19"/>
      <c r="G666" s="19"/>
      <c r="H666" s="19"/>
      <c r="J666" s="45"/>
      <c r="K666" s="45"/>
      <c r="L666" s="45"/>
      <c r="M666" s="43"/>
      <c r="O666" s="12">
        <f t="shared" si="74"/>
        <v>54.416666666666664</v>
      </c>
      <c r="P666" s="13">
        <v>653</v>
      </c>
      <c r="Q666" s="22">
        <v>2.728057965420394E-2</v>
      </c>
      <c r="R666" s="19">
        <f t="shared" si="75"/>
        <v>2.6304793400506954E-2</v>
      </c>
      <c r="S666" s="22">
        <v>3.6048076691868047E-2</v>
      </c>
      <c r="T666" s="19">
        <f t="shared" si="76"/>
        <v>4.2795132307631434E-2</v>
      </c>
      <c r="U666" s="24">
        <v>3.8323698093938319E-2</v>
      </c>
      <c r="V666" s="24">
        <f t="shared" si="77"/>
        <v>4.2804862505333663E-2</v>
      </c>
      <c r="W666" s="23">
        <f t="shared" si="78"/>
        <v>3.4987877296728254E-3</v>
      </c>
      <c r="X666" s="24">
        <v>3.7865022316223129E-2</v>
      </c>
      <c r="Y666" s="24">
        <f t="shared" si="79"/>
        <v>4.2802641011320253E-2</v>
      </c>
      <c r="Z666" s="23">
        <f t="shared" si="80"/>
        <v>3.4986050587286766E-3</v>
      </c>
      <c r="AA666" s="36"/>
    </row>
    <row r="667" spans="4:27" ht="13.9" customHeight="1">
      <c r="D667" s="8"/>
      <c r="E667" s="9"/>
      <c r="F667" s="19"/>
      <c r="G667" s="19"/>
      <c r="H667" s="19"/>
      <c r="J667" s="45"/>
      <c r="K667" s="45"/>
      <c r="L667" s="45"/>
      <c r="M667" s="43"/>
      <c r="O667" s="12">
        <f t="shared" si="74"/>
        <v>54.5</v>
      </c>
      <c r="P667" s="13">
        <v>654</v>
      </c>
      <c r="Q667" s="22">
        <v>2.7279086918309936E-2</v>
      </c>
      <c r="R667" s="19">
        <f t="shared" si="75"/>
        <v>2.6321997842506217E-2</v>
      </c>
      <c r="S667" s="22">
        <v>3.6058359894443059E-2</v>
      </c>
      <c r="T667" s="19">
        <f t="shared" si="76"/>
        <v>4.2797330764972497E-2</v>
      </c>
      <c r="U667" s="24">
        <v>3.8330535306525748E-2</v>
      </c>
      <c r="V667" s="24">
        <f t="shared" si="77"/>
        <v>4.2806815162953704E-2</v>
      </c>
      <c r="W667" s="23">
        <f t="shared" si="78"/>
        <v>3.4989459030063674E-3</v>
      </c>
      <c r="X667" s="24">
        <v>3.7872554316813023E-2</v>
      </c>
      <c r="Y667" s="24">
        <f t="shared" si="79"/>
        <v>4.2804649172825338E-2</v>
      </c>
      <c r="Z667" s="23">
        <f t="shared" si="80"/>
        <v>3.4987677561355568E-3</v>
      </c>
      <c r="AA667" s="36"/>
    </row>
    <row r="668" spans="4:27" ht="13.9" customHeight="1">
      <c r="D668" s="8"/>
      <c r="E668" s="9"/>
      <c r="F668" s="19"/>
      <c r="G668" s="19"/>
      <c r="H668" s="19"/>
      <c r="J668" s="45"/>
      <c r="K668" s="45"/>
      <c r="L668" s="45"/>
      <c r="M668" s="43"/>
      <c r="O668" s="12">
        <f t="shared" si="74"/>
        <v>54.583333333333336</v>
      </c>
      <c r="P668" s="13">
        <v>655</v>
      </c>
      <c r="Q668" s="22">
        <v>2.7277625033548025E-2</v>
      </c>
      <c r="R668" s="19">
        <f t="shared" si="75"/>
        <v>2.6339054210047452E-2</v>
      </c>
      <c r="S668" s="22">
        <v>3.6068615134293713E-2</v>
      </c>
      <c r="T668" s="19">
        <f t="shared" si="76"/>
        <v>4.279950559822443E-2</v>
      </c>
      <c r="U668" s="24">
        <v>3.8337354655326505E-2</v>
      </c>
      <c r="V668" s="24">
        <f t="shared" si="77"/>
        <v>4.2808748253496676E-2</v>
      </c>
      <c r="W668" s="23">
        <f t="shared" si="78"/>
        <v>3.4991024909623025E-3</v>
      </c>
      <c r="X668" s="24">
        <v>3.788006642475894E-2</v>
      </c>
      <c r="Y668" s="24">
        <f t="shared" si="79"/>
        <v>4.2806636871802972E-2</v>
      </c>
      <c r="Z668" s="23">
        <f t="shared" si="80"/>
        <v>3.4989287953819392E-3</v>
      </c>
      <c r="AA668" s="36"/>
    </row>
    <row r="669" spans="4:27" ht="13.9" customHeight="1">
      <c r="D669" s="8"/>
      <c r="E669" s="9"/>
      <c r="F669" s="19"/>
      <c r="G669" s="19"/>
      <c r="H669" s="19"/>
      <c r="J669" s="45"/>
      <c r="K669" s="45"/>
      <c r="L669" s="45"/>
      <c r="M669" s="43"/>
      <c r="O669" s="12">
        <f t="shared" si="74"/>
        <v>54.666666666666664</v>
      </c>
      <c r="P669" s="13">
        <v>656</v>
      </c>
      <c r="Q669" s="22">
        <v>2.7276193632339796E-2</v>
      </c>
      <c r="R669" s="19">
        <f t="shared" si="75"/>
        <v>2.6355963821393269E-2</v>
      </c>
      <c r="S669" s="22">
        <v>3.6078842503146635E-2</v>
      </c>
      <c r="T669" s="19">
        <f t="shared" si="76"/>
        <v>4.2801657061248388E-2</v>
      </c>
      <c r="U669" s="24">
        <v>3.8344156192182899E-2</v>
      </c>
      <c r="V669" s="24">
        <f t="shared" si="77"/>
        <v>4.281066197371719E-2</v>
      </c>
      <c r="W669" s="23">
        <f t="shared" si="78"/>
        <v>3.4992575095260658E-3</v>
      </c>
      <c r="X669" s="24">
        <v>3.7887558699799539E-2</v>
      </c>
      <c r="Y669" s="24">
        <f t="shared" si="79"/>
        <v>4.2808604317830623E-2</v>
      </c>
      <c r="Z669" s="23">
        <f t="shared" si="80"/>
        <v>3.4990881934098272E-3</v>
      </c>
      <c r="AA669" s="36"/>
    </row>
    <row r="670" spans="4:27" ht="13.9" customHeight="1">
      <c r="D670" s="8"/>
      <c r="E670" s="9"/>
      <c r="F670" s="19"/>
      <c r="G670" s="19"/>
      <c r="H670" s="19"/>
      <c r="J670" s="45"/>
      <c r="K670" s="45"/>
      <c r="L670" s="45"/>
      <c r="M670" s="43"/>
      <c r="O670" s="12">
        <f t="shared" si="74"/>
        <v>54.75</v>
      </c>
      <c r="P670" s="13">
        <v>657</v>
      </c>
      <c r="Q670" s="22">
        <v>2.7274792351368093E-2</v>
      </c>
      <c r="R670" s="19">
        <f t="shared" si="75"/>
        <v>2.6372727982584054E-2</v>
      </c>
      <c r="S670" s="22">
        <v>3.6089042092555035E-2</v>
      </c>
      <c r="T670" s="19">
        <f t="shared" si="76"/>
        <v>4.2803785405694184E-2</v>
      </c>
      <c r="U670" s="24">
        <v>3.8350939968919917E-2</v>
      </c>
      <c r="V670" s="24">
        <f t="shared" si="77"/>
        <v>4.2812556517207945E-2</v>
      </c>
      <c r="W670" s="23">
        <f t="shared" si="78"/>
        <v>3.4994109744836965E-3</v>
      </c>
      <c r="X670" s="24">
        <v>3.7895031201627738E-2</v>
      </c>
      <c r="Y670" s="24">
        <f t="shared" si="79"/>
        <v>4.2810551717198164E-2</v>
      </c>
      <c r="Z670" s="23">
        <f t="shared" si="80"/>
        <v>3.4992459670337706E-3</v>
      </c>
      <c r="AA670" s="36"/>
    </row>
    <row r="671" spans="4:27" ht="13.9" customHeight="1">
      <c r="D671" s="8"/>
      <c r="E671" s="9"/>
      <c r="F671" s="19"/>
      <c r="G671" s="19"/>
      <c r="H671" s="19"/>
      <c r="J671" s="45"/>
      <c r="K671" s="45"/>
      <c r="L671" s="45"/>
      <c r="M671" s="43"/>
      <c r="O671" s="12">
        <f t="shared" si="74"/>
        <v>54.833333333333336</v>
      </c>
      <c r="P671" s="13">
        <v>658</v>
      </c>
      <c r="Q671" s="22">
        <v>2.7273420831526174E-2</v>
      </c>
      <c r="R671" s="19">
        <f t="shared" si="75"/>
        <v>2.6389347988807099E-2</v>
      </c>
      <c r="S671" s="22">
        <v>3.6099213993896706E-2</v>
      </c>
      <c r="T671" s="19">
        <f t="shared" si="76"/>
        <v>4.2805890881210784E-2</v>
      </c>
      <c r="U671" s="24">
        <v>3.8357706037341233E-2</v>
      </c>
      <c r="V671" s="24">
        <f t="shared" si="77"/>
        <v>4.2814432077716624E-2</v>
      </c>
      <c r="W671" s="23">
        <f t="shared" si="78"/>
        <v>3.4995629013678808E-3</v>
      </c>
      <c r="X671" s="24">
        <v>3.7902483989886049E-2</v>
      </c>
      <c r="Y671" s="24">
        <f t="shared" si="79"/>
        <v>4.2812479275077475E-2</v>
      </c>
      <c r="Z671" s="23">
        <f t="shared" si="80"/>
        <v>3.4994021328054181E-3</v>
      </c>
      <c r="AA671" s="36"/>
    </row>
    <row r="672" spans="4:27" ht="13.9" customHeight="1">
      <c r="D672" s="8"/>
      <c r="E672" s="9"/>
      <c r="F672" s="19"/>
      <c r="G672" s="19"/>
      <c r="H672" s="19"/>
      <c r="J672" s="45"/>
      <c r="K672" s="45"/>
      <c r="L672" s="45"/>
      <c r="M672" s="43"/>
      <c r="O672" s="12">
        <f t="shared" si="74"/>
        <v>54.916666666666664</v>
      </c>
      <c r="P672" s="13">
        <v>659</v>
      </c>
      <c r="Q672" s="22">
        <v>2.7272078717868409E-2</v>
      </c>
      <c r="R672" s="19">
        <f t="shared" si="75"/>
        <v>2.640582512081191E-2</v>
      </c>
      <c r="S672" s="22">
        <v>3.610935829837203E-2</v>
      </c>
      <c r="T672" s="19">
        <f t="shared" si="76"/>
        <v>4.2807973733842708E-2</v>
      </c>
      <c r="U672" s="24">
        <v>3.8364454449228758E-2</v>
      </c>
      <c r="V672" s="24">
        <f t="shared" si="77"/>
        <v>4.2816288845477946E-2</v>
      </c>
      <c r="W672" s="23">
        <f t="shared" si="78"/>
        <v>3.4997133057228513E-3</v>
      </c>
      <c r="X672" s="24">
        <v>3.7909917124165471E-2</v>
      </c>
      <c r="Y672" s="24">
        <f t="shared" si="79"/>
        <v>4.281438719439401E-2</v>
      </c>
      <c r="Z672" s="23">
        <f t="shared" si="80"/>
        <v>3.4995567071860467E-3</v>
      </c>
      <c r="AA672" s="36"/>
    </row>
    <row r="673" spans="4:27" ht="13.9" customHeight="1">
      <c r="D673" s="8"/>
      <c r="E673" s="9"/>
      <c r="F673" s="19"/>
      <c r="G673" s="19"/>
      <c r="H673" s="19"/>
      <c r="J673" s="45"/>
      <c r="K673" s="45"/>
      <c r="L673" s="45"/>
      <c r="M673" s="43"/>
      <c r="O673" s="12">
        <f t="shared" si="74"/>
        <v>55</v>
      </c>
      <c r="P673" s="13">
        <v>660</v>
      </c>
      <c r="Q673" s="22">
        <v>2.7270765659556995E-2</v>
      </c>
      <c r="R673" s="19">
        <f t="shared" si="75"/>
        <v>2.642216064856906E-2</v>
      </c>
      <c r="S673" s="22">
        <v>3.611947509700042E-2</v>
      </c>
      <c r="T673" s="19">
        <f t="shared" si="76"/>
        <v>4.2810034207386716E-2</v>
      </c>
      <c r="U673" s="24">
        <v>3.8371185256337981E-2</v>
      </c>
      <c r="V673" s="24">
        <f t="shared" si="77"/>
        <v>4.2818127009738971E-2</v>
      </c>
      <c r="W673" s="23">
        <f t="shared" si="78"/>
        <v>3.4998622028115101E-3</v>
      </c>
      <c r="X673" s="24">
        <v>3.7917330664001936E-2</v>
      </c>
      <c r="Y673" s="24">
        <f t="shared" si="79"/>
        <v>4.2816275675363613E-2</v>
      </c>
      <c r="Z673" s="23">
        <f t="shared" si="80"/>
        <v>3.4997097064564109E-3</v>
      </c>
      <c r="AA673" s="36"/>
    </row>
    <row r="674" spans="4:27" ht="13.9" customHeight="1">
      <c r="D674" s="8"/>
      <c r="E674" s="9"/>
      <c r="F674" s="19"/>
      <c r="G674" s="19"/>
      <c r="H674" s="19"/>
      <c r="J674" s="45"/>
      <c r="K674" s="45"/>
      <c r="L674" s="45"/>
      <c r="M674" s="43"/>
      <c r="O674" s="12">
        <f t="shared" si="74"/>
        <v>55.083333333333336</v>
      </c>
      <c r="P674" s="13">
        <v>661</v>
      </c>
      <c r="Q674" s="22">
        <v>2.7269481309813992E-2</v>
      </c>
      <c r="R674" s="19">
        <f t="shared" si="75"/>
        <v>2.6438355829726756E-2</v>
      </c>
      <c r="S674" s="22">
        <v>3.6129564480617882E-2</v>
      </c>
      <c r="T674" s="19">
        <f t="shared" si="76"/>
        <v>4.2812072543079838E-2</v>
      </c>
      <c r="U674" s="24">
        <v>3.8377898510396413E-2</v>
      </c>
      <c r="V674" s="24">
        <f t="shared" si="77"/>
        <v>4.2819946756782024E-2</v>
      </c>
      <c r="W674" s="23">
        <f t="shared" si="78"/>
        <v>3.5000096078172671E-3</v>
      </c>
      <c r="X674" s="24">
        <v>3.79247246688732E-2</v>
      </c>
      <c r="Y674" s="24">
        <f t="shared" si="79"/>
        <v>4.2818144916796363E-2</v>
      </c>
      <c r="Z674" s="23">
        <f t="shared" si="80"/>
        <v>3.4998611466803276E-3</v>
      </c>
      <c r="AA674" s="36"/>
    </row>
    <row r="675" spans="4:27" ht="13.9" customHeight="1">
      <c r="D675" s="8"/>
      <c r="E675" s="9"/>
      <c r="F675" s="19"/>
      <c r="G675" s="19"/>
      <c r="H675" s="19"/>
      <c r="J675" s="45"/>
      <c r="K675" s="45"/>
      <c r="L675" s="45"/>
      <c r="M675" s="43"/>
      <c r="O675" s="12">
        <f t="shared" si="74"/>
        <v>55.166666666666664</v>
      </c>
      <c r="P675" s="13">
        <v>662</v>
      </c>
      <c r="Q675" s="22">
        <v>2.7268225325872031E-2</v>
      </c>
      <c r="R675" s="19">
        <f t="shared" si="75"/>
        <v>2.6454411910091569E-2</v>
      </c>
      <c r="S675" s="22">
        <v>3.613962653987457E-2</v>
      </c>
      <c r="T675" s="19">
        <f t="shared" si="76"/>
        <v>4.2814088978912812E-2</v>
      </c>
      <c r="U675" s="24">
        <v>3.8384594263100036E-2</v>
      </c>
      <c r="V675" s="24">
        <f t="shared" si="77"/>
        <v>4.282174827213292E-2</v>
      </c>
      <c r="W675" s="23">
        <f t="shared" si="78"/>
        <v>3.5001555356855008E-3</v>
      </c>
      <c r="X675" s="24">
        <v>3.7932099198196845E-2</v>
      </c>
      <c r="Y675" s="24">
        <f t="shared" si="79"/>
        <v>4.2819995115133125E-2</v>
      </c>
      <c r="Z675" s="23">
        <f t="shared" si="80"/>
        <v>3.5000110438083709E-3</v>
      </c>
      <c r="AA675" s="36"/>
    </row>
    <row r="676" spans="4:27" ht="13.9" customHeight="1">
      <c r="D676" s="8"/>
      <c r="E676" s="9"/>
      <c r="F676" s="19"/>
      <c r="G676" s="19"/>
      <c r="H676" s="19"/>
      <c r="J676" s="45"/>
      <c r="K676" s="45"/>
      <c r="L676" s="45"/>
      <c r="M676" s="43"/>
      <c r="O676" s="12">
        <f t="shared" si="74"/>
        <v>55.25</v>
      </c>
      <c r="P676" s="13">
        <v>663</v>
      </c>
      <c r="Q676" s="22">
        <v>2.7266997368925461E-2</v>
      </c>
      <c r="R676" s="19">
        <f t="shared" si="75"/>
        <v>2.6470330123914643E-2</v>
      </c>
      <c r="S676" s="22">
        <v>3.6149661365231678E-2</v>
      </c>
      <c r="T676" s="19">
        <f t="shared" si="76"/>
        <v>4.2816083751481493E-2</v>
      </c>
      <c r="U676" s="24">
        <v>3.8391272566111301E-2</v>
      </c>
      <c r="V676" s="24">
        <f t="shared" si="77"/>
        <v>4.2823531738612974E-2</v>
      </c>
      <c r="W676" s="23">
        <f t="shared" si="78"/>
        <v>3.500300001300749E-3</v>
      </c>
      <c r="X676" s="24">
        <v>3.7939454311327392E-2</v>
      </c>
      <c r="Y676" s="24">
        <f t="shared" si="79"/>
        <v>4.2821826464935819E-2</v>
      </c>
      <c r="Z676" s="23">
        <f t="shared" si="80"/>
        <v>3.5001594136008229E-3</v>
      </c>
      <c r="AA676" s="36"/>
    </row>
    <row r="677" spans="4:27" ht="13.9" customHeight="1">
      <c r="D677" s="8"/>
      <c r="E677" s="9"/>
      <c r="F677" s="19"/>
      <c r="G677" s="19"/>
      <c r="H677" s="19"/>
      <c r="J677" s="45"/>
      <c r="K677" s="45"/>
      <c r="L677" s="45"/>
      <c r="M677" s="43"/>
      <c r="O677" s="12">
        <f t="shared" si="74"/>
        <v>55.333333333333336</v>
      </c>
      <c r="P677" s="13">
        <v>664</v>
      </c>
      <c r="Q677" s="22">
        <v>2.7265797104083056E-2</v>
      </c>
      <c r="R677" s="19">
        <f t="shared" si="75"/>
        <v>2.6486111693290182E-2</v>
      </c>
      <c r="S677" s="22">
        <v>3.615966904696033E-2</v>
      </c>
      <c r="T677" s="19">
        <f t="shared" si="76"/>
        <v>4.2818057093358508E-2</v>
      </c>
      <c r="U677" s="24">
        <v>3.8397933471056245E-2</v>
      </c>
      <c r="V677" s="24">
        <f t="shared" si="77"/>
        <v>4.2825297337704571E-2</v>
      </c>
      <c r="W677" s="23">
        <f t="shared" si="78"/>
        <v>3.5004430193308345E-3</v>
      </c>
      <c r="X677" s="24">
        <v>3.7946790067554081E-2</v>
      </c>
      <c r="Y677" s="24">
        <f t="shared" si="79"/>
        <v>4.2823639158523497E-2</v>
      </c>
      <c r="Z677" s="23">
        <f t="shared" si="80"/>
        <v>3.5003062716676414E-3</v>
      </c>
      <c r="AA677" s="36"/>
    </row>
    <row r="678" spans="4:27" ht="13.9" customHeight="1">
      <c r="D678" s="8"/>
      <c r="E678" s="9"/>
      <c r="F678" s="19"/>
      <c r="G678" s="19"/>
      <c r="H678" s="19"/>
      <c r="J678" s="45"/>
      <c r="K678" s="45"/>
      <c r="L678" s="45"/>
      <c r="M678" s="43"/>
      <c r="O678" s="12">
        <f t="shared" si="74"/>
        <v>55.416666666666664</v>
      </c>
      <c r="P678" s="13">
        <v>665</v>
      </c>
      <c r="Q678" s="22">
        <v>2.7264624200320053E-2</v>
      </c>
      <c r="R678" s="19">
        <f t="shared" si="75"/>
        <v>2.6501757829731742E-2</v>
      </c>
      <c r="S678" s="22">
        <v>3.6169649675137583E-2</v>
      </c>
      <c r="T678" s="19">
        <f t="shared" si="76"/>
        <v>4.282000923599516E-2</v>
      </c>
      <c r="U678" s="24">
        <v>3.8404577029522491E-2</v>
      </c>
      <c r="V678" s="24">
        <f t="shared" si="77"/>
        <v>4.28270452489663E-2</v>
      </c>
      <c r="W678" s="23">
        <f t="shared" si="78"/>
        <v>3.5005846043354438E-3</v>
      </c>
      <c r="X678" s="24">
        <v>3.7954106526097542E-2</v>
      </c>
      <c r="Y678" s="24">
        <f t="shared" si="79"/>
        <v>4.2825433386845857E-2</v>
      </c>
      <c r="Z678" s="23">
        <f t="shared" si="80"/>
        <v>3.5004516334378177E-3</v>
      </c>
      <c r="AA678" s="36"/>
    </row>
    <row r="679" spans="4:27" ht="13.9" customHeight="1">
      <c r="D679" s="8"/>
      <c r="E679" s="9"/>
      <c r="F679" s="19"/>
      <c r="G679" s="19"/>
      <c r="H679" s="19"/>
      <c r="J679" s="45"/>
      <c r="K679" s="45"/>
      <c r="L679" s="45"/>
      <c r="M679" s="43"/>
      <c r="O679" s="12">
        <f t="shared" si="74"/>
        <v>55.5</v>
      </c>
      <c r="P679" s="13">
        <v>666</v>
      </c>
      <c r="Q679" s="22">
        <v>2.7263478330432855E-2</v>
      </c>
      <c r="R679" s="19">
        <f t="shared" si="75"/>
        <v>2.6517269732302173E-2</v>
      </c>
      <c r="S679" s="22">
        <v>3.6179603339645539E-2</v>
      </c>
      <c r="T679" s="19">
        <f t="shared" si="76"/>
        <v>4.2821940407311576E-2</v>
      </c>
      <c r="U679" s="24">
        <v>3.8411203293056362E-2</v>
      </c>
      <c r="V679" s="24">
        <f t="shared" si="77"/>
        <v>4.2828775649531137E-2</v>
      </c>
      <c r="W679" s="23">
        <f t="shared" si="78"/>
        <v>3.500724770720387E-3</v>
      </c>
      <c r="X679" s="24">
        <v>3.7961403746108457E-2</v>
      </c>
      <c r="Y679" s="24">
        <f t="shared" si="79"/>
        <v>4.2827209338092365E-2</v>
      </c>
      <c r="Z679" s="23">
        <f t="shared" si="80"/>
        <v>3.5005955142313194E-3</v>
      </c>
      <c r="AA679" s="36"/>
    </row>
    <row r="680" spans="4:27" ht="13.9" customHeight="1">
      <c r="D680" s="8"/>
      <c r="E680" s="9"/>
      <c r="F680" s="19"/>
      <c r="G680" s="19"/>
      <c r="H680" s="19"/>
      <c r="J680" s="45"/>
      <c r="K680" s="45"/>
      <c r="L680" s="45"/>
      <c r="M680" s="43"/>
      <c r="O680" s="12">
        <f t="shared" si="74"/>
        <v>55.583333333333336</v>
      </c>
      <c r="P680" s="13">
        <v>667</v>
      </c>
      <c r="Q680" s="22">
        <v>2.7262359170991513E-2</v>
      </c>
      <c r="R680" s="19">
        <f t="shared" si="75"/>
        <v>2.6532648589870034E-2</v>
      </c>
      <c r="S680" s="22">
        <v>3.6189530130168013E-2</v>
      </c>
      <c r="T680" s="19">
        <f t="shared" si="76"/>
        <v>4.2823850833262123E-2</v>
      </c>
      <c r="U680" s="24">
        <v>3.8417812313159994E-2</v>
      </c>
      <c r="V680" s="24">
        <f t="shared" si="77"/>
        <v>4.2830488716020243E-2</v>
      </c>
      <c r="W680" s="23">
        <f t="shared" si="78"/>
        <v>3.5008635326967408E-3</v>
      </c>
      <c r="X680" s="24">
        <v>3.7968681786664238E-2</v>
      </c>
      <c r="Y680" s="24">
        <f t="shared" si="79"/>
        <v>4.2828967198974555E-2</v>
      </c>
      <c r="Z680" s="23">
        <f t="shared" si="80"/>
        <v>3.5007379291460694E-3</v>
      </c>
      <c r="AA680" s="36"/>
    </row>
    <row r="681" spans="4:27" ht="13.9" customHeight="1">
      <c r="D681" s="8"/>
      <c r="E681" s="9"/>
      <c r="F681" s="19"/>
      <c r="G681" s="19"/>
      <c r="H681" s="19"/>
      <c r="J681" s="45"/>
      <c r="K681" s="45"/>
      <c r="L681" s="45"/>
      <c r="M681" s="43"/>
      <c r="O681" s="12">
        <f t="shared" si="74"/>
        <v>55.666666666666664</v>
      </c>
      <c r="P681" s="13">
        <v>668</v>
      </c>
      <c r="Q681" s="22">
        <v>2.7261266402295758E-2</v>
      </c>
      <c r="R681" s="19">
        <f t="shared" si="75"/>
        <v>2.6547895579368319E-2</v>
      </c>
      <c r="S681" s="22">
        <v>3.6199430136188981E-2</v>
      </c>
      <c r="T681" s="19">
        <f t="shared" si="76"/>
        <v>4.2825740737367779E-2</v>
      </c>
      <c r="U681" s="24">
        <v>3.8424404141290669E-2</v>
      </c>
      <c r="V681" s="24">
        <f t="shared" si="77"/>
        <v>4.2832184621939273E-2</v>
      </c>
      <c r="W681" s="23">
        <f t="shared" si="78"/>
        <v>3.5010009044338375E-3</v>
      </c>
      <c r="X681" s="24">
        <v>3.7975940706767242E-2</v>
      </c>
      <c r="Y681" s="24">
        <f t="shared" si="79"/>
        <v>4.2830707154541736E-2</v>
      </c>
      <c r="Z681" s="23">
        <f t="shared" si="80"/>
        <v>3.5008788931614188E-3</v>
      </c>
      <c r="AA681" s="36"/>
    </row>
    <row r="682" spans="4:27" ht="13.9" customHeight="1">
      <c r="D682" s="8"/>
      <c r="E682" s="9"/>
      <c r="F682" s="19"/>
      <c r="G682" s="19"/>
      <c r="H682" s="19"/>
      <c r="J682" s="45"/>
      <c r="K682" s="45"/>
      <c r="L682" s="45"/>
      <c r="M682" s="43"/>
      <c r="O682" s="12">
        <f t="shared" si="74"/>
        <v>55.75</v>
      </c>
      <c r="P682" s="13">
        <v>669</v>
      </c>
      <c r="Q682" s="22">
        <v>2.7260199708329269E-2</v>
      </c>
      <c r="R682" s="19">
        <f t="shared" si="75"/>
        <v>2.6563011867049902E-2</v>
      </c>
      <c r="S682" s="22">
        <v>3.620930344699036E-2</v>
      </c>
      <c r="T682" s="19">
        <f t="shared" si="76"/>
        <v>4.2827610340532951E-2</v>
      </c>
      <c r="U682" s="24">
        <v>3.8430978828856599E-2</v>
      </c>
      <c r="V682" s="24">
        <f t="shared" si="77"/>
        <v>4.2833863540074013E-2</v>
      </c>
      <c r="W682" s="23">
        <f t="shared" si="78"/>
        <v>3.5011368998518755E-3</v>
      </c>
      <c r="X682" s="24">
        <v>3.7983180565342556E-2</v>
      </c>
      <c r="Y682" s="24">
        <f t="shared" si="79"/>
        <v>4.283242938728371E-2</v>
      </c>
      <c r="Z682" s="23">
        <f t="shared" si="80"/>
        <v>3.5010184211234918E-3</v>
      </c>
      <c r="AA682" s="36"/>
    </row>
    <row r="683" spans="4:27" ht="13.9" customHeight="1">
      <c r="D683" s="8"/>
      <c r="E683" s="9"/>
      <c r="F683" s="19"/>
      <c r="G683" s="19"/>
      <c r="H683" s="19"/>
      <c r="J683" s="45"/>
      <c r="K683" s="45"/>
      <c r="L683" s="45"/>
      <c r="M683" s="43"/>
      <c r="O683" s="12">
        <f t="shared" si="74"/>
        <v>55.833333333333336</v>
      </c>
      <c r="P683" s="13">
        <v>670</v>
      </c>
      <c r="Q683" s="22">
        <v>2.7259158776715697E-2</v>
      </c>
      <c r="R683" s="19">
        <f t="shared" si="75"/>
        <v>2.6577998608181774E-2</v>
      </c>
      <c r="S683" s="22">
        <v>3.6219150151649782E-2</v>
      </c>
      <c r="T683" s="19">
        <f t="shared" si="76"/>
        <v>4.2829459860872277E-2</v>
      </c>
      <c r="U683" s="24">
        <v>3.8437536427216257E-2</v>
      </c>
      <c r="V683" s="24">
        <f t="shared" si="77"/>
        <v>4.2835525640423588E-2</v>
      </c>
      <c r="W683" s="23">
        <f t="shared" si="78"/>
        <v>3.5012715328126554E-3</v>
      </c>
      <c r="X683" s="24">
        <v>3.7990401421235331E-2</v>
      </c>
      <c r="Y683" s="24">
        <f t="shared" si="79"/>
        <v>4.2834134078060471E-2</v>
      </c>
      <c r="Z683" s="23">
        <f t="shared" si="80"/>
        <v>3.5011565276723555E-3</v>
      </c>
      <c r="AA683" s="36"/>
    </row>
    <row r="684" spans="4:27" ht="13.9" customHeight="1">
      <c r="D684" s="8"/>
      <c r="E684" s="9"/>
      <c r="F684" s="19"/>
      <c r="G684" s="19"/>
      <c r="H684" s="19"/>
      <c r="J684" s="45"/>
      <c r="K684" s="45"/>
      <c r="L684" s="45"/>
      <c r="M684" s="43"/>
      <c r="O684" s="12">
        <f t="shared" si="74"/>
        <v>55.916666666666664</v>
      </c>
      <c r="P684" s="13">
        <v>671</v>
      </c>
      <c r="Q684" s="22">
        <v>2.7258143298675153E-2</v>
      </c>
      <c r="R684" s="19">
        <f t="shared" si="75"/>
        <v>2.6592856947297294E-2</v>
      </c>
      <c r="S684" s="22">
        <v>3.6228970339037936E-2</v>
      </c>
      <c r="T684" s="19">
        <f t="shared" si="76"/>
        <v>4.2831289515564253E-2</v>
      </c>
      <c r="U684" s="24">
        <v>3.8444076987674602E-2</v>
      </c>
      <c r="V684" s="24">
        <f t="shared" si="77"/>
        <v>4.2837171092258819E-2</v>
      </c>
      <c r="W684" s="23">
        <f t="shared" si="78"/>
        <v>3.5014048169541567E-3</v>
      </c>
      <c r="X684" s="24">
        <v>3.7997603333208341E-2</v>
      </c>
      <c r="Y684" s="24">
        <f t="shared" si="79"/>
        <v>4.2835821406533636E-2</v>
      </c>
      <c r="Z684" s="23">
        <f t="shared" si="80"/>
        <v>3.5012932273181807E-3</v>
      </c>
      <c r="AA684" s="36"/>
    </row>
    <row r="685" spans="4:27" ht="13.9" customHeight="1">
      <c r="D685" s="8"/>
      <c r="E685" s="9"/>
      <c r="F685" s="19"/>
      <c r="G685" s="19"/>
      <c r="H685" s="19"/>
      <c r="J685" s="45"/>
      <c r="K685" s="45"/>
      <c r="L685" s="45"/>
      <c r="M685" s="43"/>
      <c r="O685" s="12">
        <f t="shared" si="74"/>
        <v>56</v>
      </c>
      <c r="P685" s="13">
        <v>672</v>
      </c>
      <c r="Q685" s="22">
        <v>2.7257152968981124E-2</v>
      </c>
      <c r="R685" s="19">
        <f t="shared" si="75"/>
        <v>2.6607588018452422E-2</v>
      </c>
      <c r="S685" s="22">
        <v>3.6238764097818787E-2</v>
      </c>
      <c r="T685" s="19">
        <f t="shared" si="76"/>
        <v>4.2833099517559869E-2</v>
      </c>
      <c r="U685" s="24">
        <v>3.8450600561482196E-2</v>
      </c>
      <c r="V685" s="24">
        <f t="shared" si="77"/>
        <v>4.2838800062699356E-2</v>
      </c>
      <c r="W685" s="23">
        <f t="shared" si="78"/>
        <v>3.5015367658564056E-3</v>
      </c>
      <c r="X685" s="24">
        <v>3.8004786359941312E-2</v>
      </c>
      <c r="Y685" s="24">
        <f t="shared" si="79"/>
        <v>4.2837491549520879E-2</v>
      </c>
      <c r="Z685" s="23">
        <f t="shared" si="80"/>
        <v>3.5014285344741047E-3</v>
      </c>
      <c r="AA685" s="36"/>
    </row>
    <row r="686" spans="4:27" ht="13.9" customHeight="1">
      <c r="D686" s="8"/>
      <c r="E686" s="9"/>
      <c r="F686" s="19"/>
      <c r="G686" s="19"/>
      <c r="H686" s="19"/>
      <c r="J686" s="45"/>
      <c r="K686" s="45"/>
      <c r="L686" s="45"/>
      <c r="M686" s="43"/>
      <c r="O686" s="12">
        <f t="shared" si="74"/>
        <v>56.083333333333336</v>
      </c>
      <c r="P686" s="13">
        <v>673</v>
      </c>
      <c r="Q686" s="22">
        <v>2.7256187485918293E-2</v>
      </c>
      <c r="R686" s="19">
        <f t="shared" si="75"/>
        <v>2.66221929444177E-2</v>
      </c>
      <c r="S686" s="22">
        <v>3.6248531516444693E-2</v>
      </c>
      <c r="T686" s="19">
        <f t="shared" si="76"/>
        <v>4.2834890078896848E-2</v>
      </c>
      <c r="U686" s="24">
        <v>3.8457107199832752E-2</v>
      </c>
      <c r="V686" s="24">
        <f t="shared" si="77"/>
        <v>4.2840412717321419E-2</v>
      </c>
      <c r="W686" s="23">
        <f t="shared" si="78"/>
        <v>3.5016673929264552E-3</v>
      </c>
      <c r="X686" s="24">
        <v>3.8011950560027152E-2</v>
      </c>
      <c r="Y686" s="24">
        <f t="shared" si="79"/>
        <v>4.2839144682260466E-2</v>
      </c>
      <c r="Z686" s="23">
        <f t="shared" si="80"/>
        <v>3.5015624633254472E-3</v>
      </c>
      <c r="AA686" s="36"/>
    </row>
    <row r="687" spans="4:27" ht="13.9" customHeight="1">
      <c r="D687" s="8"/>
      <c r="E687" s="9"/>
      <c r="F687" s="19"/>
      <c r="G687" s="19"/>
      <c r="H687" s="19"/>
      <c r="J687" s="45"/>
      <c r="K687" s="45"/>
      <c r="L687" s="45"/>
      <c r="M687" s="43"/>
      <c r="O687" s="12">
        <f t="shared" si="74"/>
        <v>56.166666666666664</v>
      </c>
      <c r="P687" s="13">
        <v>674</v>
      </c>
      <c r="Q687" s="22">
        <v>2.7255246551239232E-2</v>
      </c>
      <c r="R687" s="19">
        <f t="shared" si="75"/>
        <v>2.6636672838120212E-2</v>
      </c>
      <c r="S687" s="22">
        <v>3.6258272683156845E-2</v>
      </c>
      <c r="T687" s="19">
        <f t="shared" si="76"/>
        <v>4.2836661408919952E-2</v>
      </c>
      <c r="U687" s="24">
        <v>3.8463596953860923E-2</v>
      </c>
      <c r="V687" s="24">
        <f t="shared" si="77"/>
        <v>4.2842009219688171E-2</v>
      </c>
      <c r="W687" s="23">
        <f t="shared" si="78"/>
        <v>3.501796711447458E-3</v>
      </c>
      <c r="X687" s="24">
        <v>3.8019095991970397E-2</v>
      </c>
      <c r="Y687" s="24">
        <f t="shared" si="79"/>
        <v>4.2840780978984361E-2</v>
      </c>
      <c r="Z687" s="23">
        <f t="shared" si="80"/>
        <v>3.5016950279302961E-3</v>
      </c>
      <c r="AA687" s="36"/>
    </row>
    <row r="688" spans="4:27" ht="13.9" customHeight="1">
      <c r="D688" s="8"/>
      <c r="E688" s="9"/>
      <c r="F688" s="19"/>
      <c r="G688" s="19"/>
      <c r="H688" s="19"/>
      <c r="J688" s="45"/>
      <c r="K688" s="45"/>
      <c r="L688" s="45"/>
      <c r="M688" s="43"/>
      <c r="O688" s="12">
        <f t="shared" si="74"/>
        <v>56.25</v>
      </c>
      <c r="P688" s="13">
        <v>675</v>
      </c>
      <c r="Q688" s="22">
        <v>2.7254329870124439E-2</v>
      </c>
      <c r="R688" s="19">
        <f t="shared" si="75"/>
        <v>2.6651028801837118E-2</v>
      </c>
      <c r="S688" s="22">
        <v>3.6267987685982606E-2</v>
      </c>
      <c r="T688" s="19">
        <f t="shared" si="76"/>
        <v>4.2838413714405332E-2</v>
      </c>
      <c r="U688" s="24">
        <v>3.84700698746403E-2</v>
      </c>
      <c r="V688" s="24">
        <f t="shared" si="77"/>
        <v>4.2843589732094678E-2</v>
      </c>
      <c r="W688" s="23">
        <f t="shared" si="78"/>
        <v>3.5019247345411397E-3</v>
      </c>
      <c r="X688" s="24">
        <v>3.8026222714185876E-2</v>
      </c>
      <c r="Y688" s="24">
        <f t="shared" si="79"/>
        <v>4.2842400611265319E-2</v>
      </c>
      <c r="Z688" s="23">
        <f t="shared" si="80"/>
        <v>3.5018262422668034E-3</v>
      </c>
      <c r="AA688" s="36"/>
    </row>
    <row r="689" spans="4:27" ht="13.9" customHeight="1">
      <c r="D689" s="8"/>
      <c r="E689" s="9"/>
      <c r="F689" s="19"/>
      <c r="G689" s="19"/>
      <c r="H689" s="19"/>
      <c r="J689" s="45"/>
      <c r="K689" s="45"/>
      <c r="L689" s="45"/>
      <c r="M689" s="43"/>
      <c r="O689" s="12">
        <f t="shared" si="74"/>
        <v>56.333333333333336</v>
      </c>
      <c r="P689" s="13">
        <v>676</v>
      </c>
      <c r="Q689" s="22">
        <v>2.7253437151140369E-2</v>
      </c>
      <c r="R689" s="19">
        <f t="shared" si="75"/>
        <v>2.6665261928572326E-2</v>
      </c>
      <c r="S689" s="22">
        <v>3.6277676612733734E-2</v>
      </c>
      <c r="T689" s="19">
        <f t="shared" si="76"/>
        <v>4.2840147200148504E-2</v>
      </c>
      <c r="U689" s="24">
        <v>3.8476526013181411E-2</v>
      </c>
      <c r="V689" s="24">
        <f t="shared" si="77"/>
        <v>4.2845154415140696E-2</v>
      </c>
      <c r="W689" s="23">
        <f t="shared" si="78"/>
        <v>3.5020514752270859E-3</v>
      </c>
      <c r="X689" s="24">
        <v>3.8033330784996267E-2</v>
      </c>
      <c r="Y689" s="24">
        <f t="shared" si="79"/>
        <v>4.2844003749315407E-2</v>
      </c>
      <c r="Z689" s="23">
        <f t="shared" si="80"/>
        <v>3.501956120098626E-3</v>
      </c>
      <c r="AA689" s="36"/>
    </row>
    <row r="690" spans="4:27" ht="13.9" customHeight="1">
      <c r="D690" s="8"/>
      <c r="E690" s="9"/>
      <c r="F690" s="19"/>
      <c r="G690" s="19"/>
      <c r="H690" s="19"/>
      <c r="J690" s="45"/>
      <c r="K690" s="45"/>
      <c r="L690" s="45"/>
      <c r="M690" s="43"/>
      <c r="O690" s="12">
        <f t="shared" si="74"/>
        <v>56.416666666666664</v>
      </c>
      <c r="P690" s="13">
        <v>677</v>
      </c>
      <c r="Q690" s="22">
        <v>2.7252568106201025E-2</v>
      </c>
      <c r="R690" s="19">
        <f t="shared" si="75"/>
        <v>2.6679373299017151E-2</v>
      </c>
      <c r="S690" s="22">
        <v>3.6287339551004605E-2</v>
      </c>
      <c r="T690" s="19">
        <f t="shared" si="76"/>
        <v>4.2841862069143311E-2</v>
      </c>
      <c r="U690" s="24">
        <v>3.8482965420429949E-2</v>
      </c>
      <c r="V690" s="24">
        <f t="shared" si="77"/>
        <v>4.2846703427557253E-2</v>
      </c>
      <c r="W690" s="23">
        <f t="shared" si="78"/>
        <v>3.5021769463894348E-3</v>
      </c>
      <c r="X690" s="24">
        <v>3.8040420262630104E-2</v>
      </c>
      <c r="Y690" s="24">
        <f t="shared" si="79"/>
        <v>4.2845590561076063E-2</v>
      </c>
      <c r="Z690" s="23">
        <f t="shared" si="80"/>
        <v>3.502084675080841E-3</v>
      </c>
      <c r="AA690" s="36"/>
    </row>
    <row r="691" spans="4:27" ht="13.9" customHeight="1">
      <c r="D691" s="8"/>
      <c r="E691" s="9"/>
      <c r="F691" s="19"/>
      <c r="G691" s="19"/>
      <c r="H691" s="19"/>
      <c r="J691" s="45"/>
      <c r="K691" s="45"/>
      <c r="L691" s="45"/>
      <c r="M691" s="43"/>
      <c r="O691" s="12">
        <f t="shared" si="74"/>
        <v>56.5</v>
      </c>
      <c r="P691" s="13">
        <v>678</v>
      </c>
      <c r="Q691" s="22">
        <v>2.7251722450524429E-2</v>
      </c>
      <c r="R691" s="19">
        <f t="shared" si="75"/>
        <v>2.6693363985993868E-2</v>
      </c>
      <c r="S691" s="22">
        <v>3.6296976588171548E-2</v>
      </c>
      <c r="T691" s="19">
        <f t="shared" si="76"/>
        <v>4.2843558521133529E-2</v>
      </c>
      <c r="U691" s="24">
        <v>3.8489388147264769E-2</v>
      </c>
      <c r="V691" s="24">
        <f t="shared" si="77"/>
        <v>4.2848236926525063E-2</v>
      </c>
      <c r="W691" s="23">
        <f t="shared" si="78"/>
        <v>3.5023011607615562E-3</v>
      </c>
      <c r="X691" s="24">
        <v>3.8047491205219552E-2</v>
      </c>
      <c r="Y691" s="24">
        <f t="shared" si="79"/>
        <v>4.284716121383747E-2</v>
      </c>
      <c r="Z691" s="23">
        <f t="shared" si="80"/>
        <v>3.5022119206862268E-3</v>
      </c>
      <c r="AA691" s="36"/>
    </row>
    <row r="692" spans="4:27" ht="13.9" customHeight="1">
      <c r="D692" s="8"/>
      <c r="E692" s="9"/>
      <c r="F692" s="19"/>
      <c r="G692" s="19"/>
      <c r="H692" s="19"/>
      <c r="J692" s="45"/>
      <c r="K692" s="45"/>
      <c r="L692" s="45"/>
      <c r="M692" s="43"/>
      <c r="O692" s="12">
        <f t="shared" si="74"/>
        <v>56.583333333333336</v>
      </c>
      <c r="P692" s="13">
        <v>679</v>
      </c>
      <c r="Q692" s="22">
        <v>2.7250899902597103E-2</v>
      </c>
      <c r="R692" s="19">
        <f t="shared" si="75"/>
        <v>2.6707235051043776E-2</v>
      </c>
      <c r="S692" s="22">
        <v>3.6306587811389512E-2</v>
      </c>
      <c r="T692" s="19">
        <f t="shared" si="76"/>
        <v>4.2845236754593508E-2</v>
      </c>
      <c r="U692" s="24">
        <v>3.8495794244495674E-2</v>
      </c>
      <c r="V692" s="24">
        <f t="shared" si="77"/>
        <v>4.2849755068370632E-2</v>
      </c>
      <c r="W692" s="23">
        <f t="shared" si="78"/>
        <v>3.5024241309531412E-3</v>
      </c>
      <c r="X692" s="24">
        <v>3.8054543670799967E-2</v>
      </c>
      <c r="Y692" s="24">
        <f t="shared" si="79"/>
        <v>4.284871587200767E-2</v>
      </c>
      <c r="Z692" s="23">
        <f t="shared" si="80"/>
        <v>3.5023378703351593E-3</v>
      </c>
      <c r="AA692" s="36"/>
    </row>
    <row r="693" spans="4:27" ht="13.9" customHeight="1">
      <c r="D693" s="8"/>
      <c r="E693" s="9"/>
      <c r="F693" s="19"/>
      <c r="G693" s="19"/>
      <c r="H693" s="19"/>
      <c r="J693" s="45"/>
      <c r="K693" s="45"/>
      <c r="L693" s="45"/>
      <c r="M693" s="43"/>
      <c r="O693" s="12">
        <f t="shared" si="74"/>
        <v>56.666666666666664</v>
      </c>
      <c r="P693" s="13">
        <v>680</v>
      </c>
      <c r="Q693" s="22">
        <v>2.7250100184132542E-2</v>
      </c>
      <c r="R693" s="19">
        <f t="shared" si="75"/>
        <v>2.6720987546695607E-2</v>
      </c>
      <c r="S693" s="22">
        <v>3.6316173307591848E-2</v>
      </c>
      <c r="T693" s="19">
        <f t="shared" si="76"/>
        <v>4.2846896965823777E-2</v>
      </c>
      <c r="U693" s="24">
        <v>3.8502183762862741E-2</v>
      </c>
      <c r="V693" s="24">
        <f t="shared" si="77"/>
        <v>4.285125800642331E-2</v>
      </c>
      <c r="W693" s="23">
        <f t="shared" si="78"/>
        <v>3.502545869504603E-3</v>
      </c>
      <c r="X693" s="24">
        <v>3.8061577717306339E-2</v>
      </c>
      <c r="Y693" s="24">
        <f t="shared" si="79"/>
        <v>4.2850254699031476E-2</v>
      </c>
      <c r="Z693" s="23">
        <f t="shared" si="80"/>
        <v>3.502462537216644E-3</v>
      </c>
      <c r="AA693" s="36"/>
    </row>
    <row r="694" spans="4:27" ht="13.9" customHeight="1">
      <c r="D694" s="8"/>
      <c r="E694" s="9"/>
      <c r="F694" s="19"/>
      <c r="G694" s="19"/>
      <c r="H694" s="19"/>
      <c r="J694" s="45"/>
      <c r="K694" s="45"/>
      <c r="L694" s="45"/>
      <c r="M694" s="43"/>
      <c r="O694" s="12">
        <f t="shared" si="74"/>
        <v>56.75</v>
      </c>
      <c r="P694" s="13">
        <v>681</v>
      </c>
      <c r="Q694" s="22">
        <v>2.7249323020034355E-2</v>
      </c>
      <c r="R694" s="19">
        <f t="shared" si="75"/>
        <v>2.6734622515125039E-2</v>
      </c>
      <c r="S694" s="22">
        <v>3.6325733163488749E-2</v>
      </c>
      <c r="T694" s="19">
        <f t="shared" si="76"/>
        <v>4.2848539348393722E-2</v>
      </c>
      <c r="U694" s="24">
        <v>3.8508556753032774E-2</v>
      </c>
      <c r="V694" s="24">
        <f t="shared" si="77"/>
        <v>4.28527458938468E-2</v>
      </c>
      <c r="W694" s="23">
        <f t="shared" si="78"/>
        <v>3.5026663887163245E-3</v>
      </c>
      <c r="X694" s="24">
        <v>3.8068593402572848E-2</v>
      </c>
      <c r="Y694" s="24">
        <f t="shared" si="79"/>
        <v>4.2851777856411699E-2</v>
      </c>
      <c r="Z694" s="23">
        <f t="shared" si="80"/>
        <v>3.5025859344426369E-3</v>
      </c>
      <c r="AA694" s="36"/>
    </row>
    <row r="695" spans="4:27" ht="13.9" customHeight="1">
      <c r="D695" s="8"/>
      <c r="E695" s="9"/>
      <c r="F695" s="19"/>
      <c r="G695" s="19"/>
      <c r="H695" s="19"/>
      <c r="J695" s="45"/>
      <c r="K695" s="45"/>
      <c r="L695" s="45"/>
      <c r="M695" s="43"/>
      <c r="O695" s="12">
        <f t="shared" si="74"/>
        <v>56.833333333333336</v>
      </c>
      <c r="P695" s="13">
        <v>682</v>
      </c>
      <c r="Q695" s="22">
        <v>2.7248568138357632E-2</v>
      </c>
      <c r="R695" s="19">
        <f t="shared" si="75"/>
        <v>2.6748140989083513E-2</v>
      </c>
      <c r="S695" s="22">
        <v>3.6335267465565035E-2</v>
      </c>
      <c r="T695" s="19">
        <f t="shared" si="76"/>
        <v>4.2850164094528687E-2</v>
      </c>
      <c r="U695" s="24">
        <v>3.8514913265599304E-2</v>
      </c>
      <c r="V695" s="24">
        <f t="shared" si="77"/>
        <v>4.2854218881483108E-2</v>
      </c>
      <c r="W695" s="23">
        <f t="shared" si="78"/>
        <v>3.502785700875366E-3</v>
      </c>
      <c r="X695" s="24">
        <v>3.8075590784330648E-2</v>
      </c>
      <c r="Y695" s="24">
        <f t="shared" si="79"/>
        <v>4.2853285504218963E-2</v>
      </c>
      <c r="Z695" s="23">
        <f t="shared" si="80"/>
        <v>3.5027080749687745E-3</v>
      </c>
      <c r="AA695" s="36"/>
    </row>
    <row r="696" spans="4:27" ht="13.9" customHeight="1">
      <c r="D696" s="8"/>
      <c r="E696" s="9"/>
      <c r="F696" s="19"/>
      <c r="G696" s="19"/>
      <c r="H696" s="19"/>
      <c r="J696" s="45"/>
      <c r="K696" s="45"/>
      <c r="L696" s="45"/>
      <c r="M696" s="43"/>
      <c r="O696" s="12">
        <f t="shared" si="74"/>
        <v>56.916666666666664</v>
      </c>
      <c r="P696" s="13">
        <v>683</v>
      </c>
      <c r="Q696" s="22">
        <v>2.7247835270271858E-2</v>
      </c>
      <c r="R696" s="19">
        <f t="shared" si="75"/>
        <v>2.6761543991547176E-2</v>
      </c>
      <c r="S696" s="22">
        <v>3.6344776300079706E-2</v>
      </c>
      <c r="T696" s="19">
        <f t="shared" si="76"/>
        <v>4.2851771393631832E-2</v>
      </c>
      <c r="U696" s="24">
        <v>3.852125335107992E-2</v>
      </c>
      <c r="V696" s="24">
        <f>(1+U697)^P697/(1+U696)^P696-1</f>
        <v>4.285567711910665E-2</v>
      </c>
      <c r="W696" s="23">
        <f t="shared" si="78"/>
        <v>3.5029038180818262E-3</v>
      </c>
      <c r="X696" s="24">
        <v>3.8082569920206311E-2</v>
      </c>
      <c r="Y696" s="24">
        <f t="shared" si="79"/>
        <v>4.2854777800504618E-2</v>
      </c>
      <c r="Z696" s="23">
        <f t="shared" si="80"/>
        <v>3.5028289716363403E-3</v>
      </c>
      <c r="AA696" s="36"/>
    </row>
    <row r="697" spans="4:27" ht="13.9" customHeight="1">
      <c r="D697" s="8"/>
      <c r="E697" s="9"/>
      <c r="F697" s="19"/>
      <c r="G697" s="19"/>
      <c r="H697" s="19"/>
      <c r="J697" s="45"/>
      <c r="K697" s="45"/>
      <c r="L697" s="45"/>
      <c r="M697" s="43"/>
      <c r="O697" s="12">
        <f t="shared" si="74"/>
        <v>57</v>
      </c>
      <c r="P697" s="13">
        <v>684</v>
      </c>
      <c r="Q697" s="22">
        <v>2.7247124150023394E-2</v>
      </c>
      <c r="R697" s="19">
        <f t="shared" si="75"/>
        <v>2.6774832536953674E-2</v>
      </c>
      <c r="S697" s="22">
        <v>3.6354259753063722E-2</v>
      </c>
      <c r="T697" s="19">
        <f t="shared" si="76"/>
        <v>4.285336143380758E-2</v>
      </c>
      <c r="U697" s="24">
        <v>3.8527577059914941E-2</v>
      </c>
      <c r="V697" s="24">
        <f t="shared" si="77"/>
        <v>4.2857120754140388E-2</v>
      </c>
      <c r="W697" s="23">
        <f t="shared" si="78"/>
        <v>3.5030207523512047E-3</v>
      </c>
      <c r="X697" s="24">
        <v>3.8089530867720267E-2</v>
      </c>
      <c r="Y697" s="24">
        <f t="shared" si="79"/>
        <v>4.2856254901968871E-2</v>
      </c>
      <c r="Z697" s="23">
        <f t="shared" si="80"/>
        <v>3.5029486371238594E-3</v>
      </c>
      <c r="AA697" s="36"/>
    </row>
    <row r="698" spans="4:27" ht="13.9" customHeight="1">
      <c r="D698" s="8"/>
      <c r="E698" s="9"/>
      <c r="F698" s="19"/>
      <c r="G698" s="19"/>
      <c r="H698" s="19"/>
      <c r="J698" s="45"/>
      <c r="K698" s="45"/>
      <c r="L698" s="45"/>
      <c r="M698" s="43"/>
      <c r="O698" s="12">
        <f t="shared" si="74"/>
        <v>57.083333333333336</v>
      </c>
      <c r="P698" s="13">
        <v>685</v>
      </c>
      <c r="Q698" s="22">
        <v>2.7246434514900386E-2</v>
      </c>
      <c r="R698" s="19">
        <f t="shared" si="75"/>
        <v>2.6788007628941068E-2</v>
      </c>
      <c r="S698" s="22">
        <v>3.6363717910319338E-2</v>
      </c>
      <c r="T698" s="19">
        <f t="shared" si="76"/>
        <v>4.2854934400294864E-2</v>
      </c>
      <c r="U698" s="24">
        <v>3.8533884442465194E-2</v>
      </c>
      <c r="V698" s="24">
        <f t="shared" si="77"/>
        <v>4.2858549933779022E-2</v>
      </c>
      <c r="W698" s="23">
        <f t="shared" si="78"/>
        <v>3.5031365155091532E-3</v>
      </c>
      <c r="X698" s="24">
        <v>3.8096473684284815E-2</v>
      </c>
      <c r="Y698" s="24">
        <f t="shared" si="79"/>
        <v>4.2857716963620618E-2</v>
      </c>
      <c r="Z698" s="23">
        <f t="shared" si="80"/>
        <v>3.5030670840019429E-3</v>
      </c>
      <c r="AA698" s="36"/>
    </row>
    <row r="699" spans="4:27" ht="13.9" customHeight="1">
      <c r="D699" s="8"/>
      <c r="E699" s="9"/>
      <c r="F699" s="19"/>
      <c r="G699" s="19"/>
      <c r="H699" s="19"/>
      <c r="J699" s="45"/>
      <c r="K699" s="45"/>
      <c r="L699" s="45"/>
      <c r="M699" s="43"/>
      <c r="O699" s="12">
        <f t="shared" si="74"/>
        <v>57.166666666666664</v>
      </c>
      <c r="P699" s="13">
        <v>686</v>
      </c>
      <c r="Q699" s="22">
        <v>2.7245766105195246E-2</v>
      </c>
      <c r="R699" s="19">
        <f t="shared" si="75"/>
        <v>2.6801070263126281E-2</v>
      </c>
      <c r="S699" s="22">
        <v>3.6373150857418102E-2</v>
      </c>
      <c r="T699" s="19">
        <f t="shared" si="76"/>
        <v>4.2856490477263032E-2</v>
      </c>
      <c r="U699" s="24">
        <v>3.8540175549011568E-2</v>
      </c>
      <c r="V699" s="24">
        <f t="shared" si="77"/>
        <v>4.2859964802697492E-2</v>
      </c>
      <c r="W699" s="23">
        <f t="shared" si="78"/>
        <v>3.5032511193635596E-3</v>
      </c>
      <c r="X699" s="24">
        <v>3.8103398427203228E-2</v>
      </c>
      <c r="Y699" s="24">
        <f t="shared" si="79"/>
        <v>4.2859164139276373E-2</v>
      </c>
      <c r="Z699" s="23">
        <f t="shared" si="80"/>
        <v>3.5031843247050887E-3</v>
      </c>
      <c r="AA699" s="36"/>
    </row>
    <row r="700" spans="4:27" ht="13.9" customHeight="1">
      <c r="D700" s="8"/>
      <c r="E700" s="9"/>
      <c r="F700" s="19"/>
      <c r="G700" s="19"/>
      <c r="H700" s="19"/>
      <c r="J700" s="45"/>
      <c r="K700" s="45"/>
      <c r="L700" s="45"/>
      <c r="M700" s="43"/>
      <c r="O700" s="12">
        <f t="shared" si="74"/>
        <v>57.25</v>
      </c>
      <c r="P700" s="13">
        <v>687</v>
      </c>
      <c r="Q700" s="22">
        <v>2.7245118664170009E-2</v>
      </c>
      <c r="R700" s="19">
        <f t="shared" si="75"/>
        <v>2.6814021425254797E-2</v>
      </c>
      <c r="S700" s="22">
        <v>3.638255867970086E-2</v>
      </c>
      <c r="T700" s="19">
        <f t="shared" si="76"/>
        <v>4.2858029846245982E-2</v>
      </c>
      <c r="U700" s="24">
        <v>3.8546450429752355E-2</v>
      </c>
      <c r="V700" s="24">
        <f t="shared" si="77"/>
        <v>4.2861365504782922E-2</v>
      </c>
      <c r="W700" s="23">
        <f t="shared" si="78"/>
        <v>3.5033645755204734E-3</v>
      </c>
      <c r="X700" s="24">
        <v>3.81103051536682E-2</v>
      </c>
      <c r="Y700" s="24">
        <f t="shared" si="79"/>
        <v>4.2860596580159616E-2</v>
      </c>
      <c r="Z700" s="23">
        <f t="shared" si="80"/>
        <v>3.5033003715727595E-3</v>
      </c>
      <c r="AA700" s="36"/>
    </row>
    <row r="701" spans="4:27" ht="13.9" customHeight="1">
      <c r="D701" s="8"/>
      <c r="E701" s="9"/>
      <c r="F701" s="19"/>
      <c r="G701" s="19"/>
      <c r="H701" s="19"/>
      <c r="J701" s="45"/>
      <c r="K701" s="45"/>
      <c r="L701" s="45"/>
      <c r="M701" s="43"/>
      <c r="O701" s="12">
        <f t="shared" si="74"/>
        <v>57.333333333333336</v>
      </c>
      <c r="P701" s="13">
        <v>688</v>
      </c>
      <c r="Q701" s="22">
        <v>2.7244491938020809E-2</v>
      </c>
      <c r="R701" s="19">
        <f t="shared" si="75"/>
        <v>2.682686209201024E-2</v>
      </c>
      <c r="S701" s="22">
        <v>3.6391941462275312E-2</v>
      </c>
      <c r="T701" s="19">
        <f t="shared" si="76"/>
        <v>4.2859552686788982E-2</v>
      </c>
      <c r="U701" s="24">
        <v>3.8552709134802576E-2</v>
      </c>
      <c r="V701" s="24">
        <f t="shared" si="77"/>
        <v>4.2862752181504371E-2</v>
      </c>
      <c r="W701" s="23">
        <f t="shared" si="78"/>
        <v>3.5034768955215512E-3</v>
      </c>
      <c r="X701" s="24">
        <v>3.8117193920759185E-2</v>
      </c>
      <c r="Y701" s="24">
        <f t="shared" si="79"/>
        <v>4.2862014437047069E-2</v>
      </c>
      <c r="Z701" s="23">
        <f t="shared" si="80"/>
        <v>3.5034152367352522E-3</v>
      </c>
      <c r="AA701" s="36"/>
    </row>
    <row r="702" spans="4:27" ht="13.9" customHeight="1">
      <c r="D702" s="8"/>
      <c r="E702" s="9"/>
      <c r="F702" s="19"/>
      <c r="G702" s="19"/>
      <c r="H702" s="19"/>
      <c r="J702" s="45"/>
      <c r="K702" s="45"/>
      <c r="L702" s="45"/>
      <c r="M702" s="43"/>
      <c r="O702" s="12">
        <f t="shared" si="74"/>
        <v>57.416666666666664</v>
      </c>
      <c r="P702" s="13">
        <v>689</v>
      </c>
      <c r="Q702" s="22">
        <v>2.724388567584346E-2</v>
      </c>
      <c r="R702" s="19">
        <f t="shared" si="75"/>
        <v>2.6839593231710701E-2</v>
      </c>
      <c r="S702" s="22">
        <v>3.6401299290015343E-2</v>
      </c>
      <c r="T702" s="19">
        <f t="shared" si="76"/>
        <v>4.2861059177062621E-2</v>
      </c>
      <c r="U702" s="24">
        <v>3.8558951714191325E-2</v>
      </c>
      <c r="V702" s="24">
        <f t="shared" si="77"/>
        <v>4.2864124974440809E-2</v>
      </c>
      <c r="W702" s="23">
        <f t="shared" si="78"/>
        <v>3.5035880907157146E-3</v>
      </c>
      <c r="X702" s="24">
        <v>3.8124064785442835E-2</v>
      </c>
      <c r="Y702" s="24">
        <f t="shared" si="79"/>
        <v>4.28634178584959E-2</v>
      </c>
      <c r="Z702" s="23">
        <f t="shared" si="80"/>
        <v>3.5035289322877805E-3</v>
      </c>
      <c r="AA702" s="36"/>
    </row>
    <row r="703" spans="4:27" ht="13.9" customHeight="1">
      <c r="D703" s="8"/>
      <c r="E703" s="9"/>
      <c r="F703" s="19"/>
      <c r="G703" s="19"/>
      <c r="H703" s="19"/>
      <c r="J703" s="45"/>
      <c r="K703" s="45"/>
      <c r="L703" s="45"/>
      <c r="M703" s="43"/>
      <c r="O703" s="12">
        <f t="shared" si="74"/>
        <v>57.5</v>
      </c>
      <c r="P703" s="13">
        <v>690</v>
      </c>
      <c r="Q703" s="22">
        <v>2.7243299629599482E-2</v>
      </c>
      <c r="R703" s="19">
        <f t="shared" si="75"/>
        <v>2.6852215803052193E-2</v>
      </c>
      <c r="S703" s="22">
        <v>3.6410632247560137E-2</v>
      </c>
      <c r="T703" s="19">
        <f t="shared" si="76"/>
        <v>4.2862549492656665E-2</v>
      </c>
      <c r="U703" s="24">
        <v>3.8565178217861984E-2</v>
      </c>
      <c r="V703" s="24">
        <f t="shared" si="77"/>
        <v>4.2865484022526656E-2</v>
      </c>
      <c r="W703" s="23">
        <f t="shared" si="78"/>
        <v>3.5036981724596572E-3</v>
      </c>
      <c r="X703" s="24">
        <v>3.8130917804569897E-2</v>
      </c>
      <c r="Y703" s="24">
        <f t="shared" si="79"/>
        <v>4.2864806992239268E-2</v>
      </c>
      <c r="Z703" s="23">
        <f t="shared" si="80"/>
        <v>3.5036414701474783E-3</v>
      </c>
      <c r="AA703" s="36"/>
    </row>
    <row r="704" spans="4:27" ht="13.9" customHeight="1">
      <c r="D704" s="8"/>
      <c r="E704" s="9"/>
      <c r="F704" s="19"/>
      <c r="G704" s="19"/>
      <c r="H704" s="19"/>
      <c r="J704" s="45"/>
      <c r="K704" s="45"/>
      <c r="L704" s="45"/>
      <c r="M704" s="43"/>
      <c r="O704" s="12">
        <f t="shared" si="74"/>
        <v>57.583333333333336</v>
      </c>
      <c r="P704" s="13">
        <v>691</v>
      </c>
      <c r="Q704" s="22">
        <v>2.7242733554081688E-2</v>
      </c>
      <c r="R704" s="19">
        <f t="shared" si="75"/>
        <v>2.6864730756166688E-2</v>
      </c>
      <c r="S704" s="22">
        <v>3.6419940419313068E-2</v>
      </c>
      <c r="T704" s="19">
        <f t="shared" si="76"/>
        <v>4.2864023807841045E-2</v>
      </c>
      <c r="U704" s="24">
        <v>3.8571388695669784E-2</v>
      </c>
      <c r="V704" s="24">
        <f t="shared" si="77"/>
        <v>4.2866829463586553E-2</v>
      </c>
      <c r="W704" s="23">
        <f t="shared" si="78"/>
        <v>3.5038071518984637E-3</v>
      </c>
      <c r="X704" s="24">
        <v>3.8137753034875654E-2</v>
      </c>
      <c r="Y704" s="24">
        <f t="shared" si="79"/>
        <v>4.2866181983397755E-2</v>
      </c>
      <c r="Z704" s="23">
        <f t="shared" si="80"/>
        <v>3.5037528621648661E-3</v>
      </c>
      <c r="AA704" s="36"/>
    </row>
    <row r="705" spans="4:27" ht="13.9" customHeight="1">
      <c r="D705" s="8"/>
      <c r="E705" s="9"/>
      <c r="F705" s="19"/>
      <c r="G705" s="19"/>
      <c r="H705" s="19"/>
      <c r="J705" s="45"/>
      <c r="K705" s="45"/>
      <c r="L705" s="45"/>
      <c r="M705" s="43"/>
      <c r="O705" s="12">
        <f t="shared" si="74"/>
        <v>57.666666666666664</v>
      </c>
      <c r="P705" s="13">
        <v>692</v>
      </c>
      <c r="Q705" s="22">
        <v>2.7242187206881097E-2</v>
      </c>
      <c r="R705" s="19">
        <f t="shared" si="75"/>
        <v>2.6877139032609465E-2</v>
      </c>
      <c r="S705" s="22">
        <v>3.6429223889440365E-2</v>
      </c>
      <c r="T705" s="19">
        <f t="shared" si="76"/>
        <v>4.2865482294214718E-2</v>
      </c>
      <c r="U705" s="24">
        <v>3.857758319738025E-2</v>
      </c>
      <c r="V705" s="24">
        <f t="shared" si="77"/>
        <v>4.286816143390304E-2</v>
      </c>
      <c r="W705" s="23">
        <f t="shared" si="78"/>
        <v>3.5039150400879571E-3</v>
      </c>
      <c r="X705" s="24">
        <v>3.8144570532976596E-2</v>
      </c>
      <c r="Y705" s="24">
        <f t="shared" si="79"/>
        <v>4.2867542976492423E-2</v>
      </c>
      <c r="Z705" s="23">
        <f t="shared" si="80"/>
        <v>3.5038631199808545E-3</v>
      </c>
      <c r="AA705" s="36"/>
    </row>
    <row r="706" spans="4:27" ht="13.9" customHeight="1">
      <c r="D706" s="8"/>
      <c r="E706" s="9"/>
      <c r="F706" s="19"/>
      <c r="G706" s="19"/>
      <c r="H706" s="19"/>
      <c r="J706" s="45"/>
      <c r="K706" s="45"/>
      <c r="L706" s="45"/>
      <c r="M706" s="43"/>
      <c r="O706" s="12">
        <f t="shared" si="74"/>
        <v>57.75</v>
      </c>
      <c r="P706" s="13">
        <v>693</v>
      </c>
      <c r="Q706" s="22">
        <v>2.7241660348354291E-2</v>
      </c>
      <c r="R706" s="19">
        <f t="shared" si="75"/>
        <v>2.6889441565210781E-2</v>
      </c>
      <c r="S706" s="22">
        <v>3.6438482741870004E-2</v>
      </c>
      <c r="T706" s="19">
        <f t="shared" si="76"/>
        <v>4.2866925122626354E-2</v>
      </c>
      <c r="U706" s="24">
        <v>3.8583761772667868E-2</v>
      </c>
      <c r="V706" s="24">
        <f t="shared" si="77"/>
        <v>4.2869480069203325E-2</v>
      </c>
      <c r="W706" s="23">
        <f t="shared" si="78"/>
        <v>3.5040218479602814E-3</v>
      </c>
      <c r="X706" s="24">
        <v>3.8151370355370418E-2</v>
      </c>
      <c r="Y706" s="24">
        <f t="shared" si="79"/>
        <v>4.2868890114487801E-2</v>
      </c>
      <c r="Z706" s="23">
        <f t="shared" si="80"/>
        <v>3.5039722551888364E-3</v>
      </c>
      <c r="AA706" s="36"/>
    </row>
    <row r="707" spans="4:27" ht="13.9" customHeight="1">
      <c r="D707" s="8"/>
      <c r="E707" s="9"/>
      <c r="F707" s="19"/>
      <c r="G707" s="19"/>
      <c r="H707" s="19"/>
      <c r="J707" s="45"/>
      <c r="K707" s="45"/>
      <c r="L707" s="45"/>
      <c r="M707" s="43"/>
      <c r="O707" s="12">
        <f t="shared" si="74"/>
        <v>57.833333333333336</v>
      </c>
      <c r="P707" s="13">
        <v>694</v>
      </c>
      <c r="Q707" s="22">
        <v>2.7241152741590557E-2</v>
      </c>
      <c r="R707" s="19">
        <f t="shared" si="75"/>
        <v>2.6901639278090306E-2</v>
      </c>
      <c r="S707" s="22">
        <v>3.6447717060291707E-2</v>
      </c>
      <c r="T707" s="19">
        <f t="shared" si="76"/>
        <v>4.2868352461270298E-2</v>
      </c>
      <c r="U707" s="24">
        <v>3.8589924471116088E-2</v>
      </c>
      <c r="V707" s="24">
        <f t="shared" si="77"/>
        <v>4.2870785502999276E-2</v>
      </c>
      <c r="W707" s="23">
        <f t="shared" si="78"/>
        <v>3.5041275864027277E-3</v>
      </c>
      <c r="X707" s="24">
        <v>3.8158152558434688E-2</v>
      </c>
      <c r="Y707" s="24">
        <f t="shared" si="79"/>
        <v>4.2870223538392205E-2</v>
      </c>
      <c r="Z707" s="23">
        <f t="shared" si="80"/>
        <v>3.5040802792565273E-3</v>
      </c>
      <c r="AA707" s="36"/>
    </row>
    <row r="708" spans="4:27" ht="13.9" customHeight="1">
      <c r="D708" s="8"/>
      <c r="E708" s="9"/>
      <c r="F708" s="19"/>
      <c r="G708" s="19"/>
      <c r="H708" s="19"/>
      <c r="J708" s="45"/>
      <c r="K708" s="45"/>
      <c r="L708" s="45"/>
      <c r="M708" s="43"/>
      <c r="O708" s="12">
        <f t="shared" si="74"/>
        <v>57.916666666666664</v>
      </c>
      <c r="P708" s="13">
        <v>695</v>
      </c>
      <c r="Q708" s="22">
        <v>2.7240664152379912E-2</v>
      </c>
      <c r="R708" s="19">
        <f t="shared" si="75"/>
        <v>2.6913733087206237E-2</v>
      </c>
      <c r="S708" s="22">
        <v>3.6456926928154942E-2</v>
      </c>
      <c r="T708" s="19">
        <f t="shared" si="76"/>
        <v>4.2869764476489935E-2</v>
      </c>
      <c r="U708" s="24">
        <v>3.8596071342214433E-2</v>
      </c>
      <c r="V708" s="24">
        <f t="shared" si="77"/>
        <v>4.2872077867266434E-2</v>
      </c>
      <c r="W708" s="23">
        <f t="shared" si="78"/>
        <v>3.5042322661249514E-3</v>
      </c>
      <c r="X708" s="24">
        <v>3.8164917198424853E-2</v>
      </c>
      <c r="Y708" s="24">
        <f t="shared" si="79"/>
        <v>4.2871543388434796E-2</v>
      </c>
      <c r="Z708" s="23">
        <f t="shared" si="80"/>
        <v>3.5041872034953236E-3</v>
      </c>
      <c r="AA708" s="36"/>
    </row>
    <row r="709" spans="4:27" ht="13.9" customHeight="1">
      <c r="D709" s="8"/>
      <c r="E709" s="9"/>
      <c r="F709" s="19"/>
      <c r="G709" s="19"/>
      <c r="H709" s="19"/>
      <c r="J709" s="45"/>
      <c r="K709" s="45"/>
      <c r="L709" s="45"/>
      <c r="M709" s="43"/>
      <c r="O709" s="12">
        <f t="shared" si="74"/>
        <v>58</v>
      </c>
      <c r="P709" s="13">
        <v>696</v>
      </c>
      <c r="Q709" s="22">
        <v>2.7240194349181346E-2</v>
      </c>
      <c r="R709" s="19">
        <f t="shared" si="75"/>
        <v>2.6925723899929865E-2</v>
      </c>
      <c r="S709" s="22">
        <v>3.6466112428668707E-2</v>
      </c>
      <c r="T709" s="19">
        <f t="shared" si="76"/>
        <v>4.2871161333532193E-2</v>
      </c>
      <c r="U709" s="24">
        <v>3.8602202435357391E-2</v>
      </c>
      <c r="V709" s="24">
        <f t="shared" si="77"/>
        <v>4.2873357293671255E-2</v>
      </c>
      <c r="W709" s="23">
        <f t="shared" si="78"/>
        <v>3.5043358977135952E-3</v>
      </c>
      <c r="X709" s="24">
        <v>3.8171664331474231E-2</v>
      </c>
      <c r="Y709" s="24">
        <f t="shared" si="79"/>
        <v>4.2872849802632063E-2</v>
      </c>
      <c r="Z709" s="23">
        <f t="shared" si="80"/>
        <v>3.5042930391533389E-3</v>
      </c>
      <c r="AA709" s="36"/>
    </row>
    <row r="710" spans="4:27" ht="13.9" customHeight="1">
      <c r="D710" s="8"/>
      <c r="E710" s="9"/>
      <c r="F710" s="19"/>
      <c r="G710" s="19"/>
      <c r="H710" s="19"/>
      <c r="J710" s="45"/>
      <c r="K710" s="45"/>
      <c r="L710" s="45"/>
      <c r="M710" s="43"/>
      <c r="O710" s="12">
        <f t="shared" si="74"/>
        <v>58.083333333333336</v>
      </c>
      <c r="P710" s="13">
        <v>697</v>
      </c>
      <c r="Q710" s="22">
        <v>2.7239743103091518E-2</v>
      </c>
      <c r="R710" s="19">
        <f t="shared" si="75"/>
        <v>2.6937612615151929E-2</v>
      </c>
      <c r="S710" s="22">
        <v>3.647527364480041E-2</v>
      </c>
      <c r="T710" s="19">
        <f t="shared" si="76"/>
        <v>4.2872543194925283E-2</v>
      </c>
      <c r="U710" s="24">
        <v>3.8608317799844194E-2</v>
      </c>
      <c r="V710" s="24">
        <f t="shared" si="77"/>
        <v>4.2874623911747678E-2</v>
      </c>
      <c r="W710" s="23">
        <f t="shared" si="78"/>
        <v>3.5044384917302107E-3</v>
      </c>
      <c r="X710" s="24">
        <v>3.8178394013591577E-2</v>
      </c>
      <c r="Y710" s="24">
        <f t="shared" si="79"/>
        <v>4.2874142918158942E-2</v>
      </c>
      <c r="Z710" s="23">
        <f t="shared" si="80"/>
        <v>3.5043977973017171E-3</v>
      </c>
      <c r="AA710" s="36"/>
    </row>
    <row r="711" spans="4:27" ht="13.9" customHeight="1">
      <c r="D711" s="8"/>
      <c r="E711" s="9"/>
      <c r="F711" s="19"/>
      <c r="G711" s="19"/>
      <c r="H711" s="19"/>
      <c r="J711" s="45"/>
      <c r="K711" s="45"/>
      <c r="L711" s="45"/>
      <c r="M711" s="43"/>
      <c r="O711" s="12">
        <f t="shared" si="74"/>
        <v>58.166666666666664</v>
      </c>
      <c r="P711" s="13">
        <v>698</v>
      </c>
      <c r="Q711" s="22">
        <v>2.7239310187813448E-2</v>
      </c>
      <c r="R711" s="19">
        <f t="shared" si="75"/>
        <v>2.694940012406466E-2</v>
      </c>
      <c r="S711" s="22">
        <v>3.6484410659274991E-2</v>
      </c>
      <c r="T711" s="19">
        <f t="shared" si="76"/>
        <v>4.2873910222520406E-2</v>
      </c>
      <c r="U711" s="24">
        <v>3.8614417484877039E-2</v>
      </c>
      <c r="V711" s="24">
        <f t="shared" si="77"/>
        <v>4.2875877850008015E-2</v>
      </c>
      <c r="W711" s="23">
        <f t="shared" si="78"/>
        <v>3.5045400585651532E-3</v>
      </c>
      <c r="X711" s="24">
        <v>3.8185106300660632E-2</v>
      </c>
      <c r="Y711" s="24">
        <f t="shared" si="79"/>
        <v>4.2875422870854329E-2</v>
      </c>
      <c r="Z711" s="23">
        <f t="shared" si="80"/>
        <v>3.5045014889438786E-3</v>
      </c>
      <c r="AA711" s="36"/>
    </row>
    <row r="712" spans="4:27" ht="13.9" customHeight="1">
      <c r="D712" s="8"/>
      <c r="E712" s="9"/>
      <c r="F712" s="19"/>
      <c r="G712" s="19"/>
      <c r="H712" s="19"/>
      <c r="J712" s="45"/>
      <c r="K712" s="45"/>
      <c r="L712" s="45"/>
      <c r="M712" s="43"/>
      <c r="O712" s="12">
        <f t="shared" si="74"/>
        <v>58.25</v>
      </c>
      <c r="P712" s="13">
        <v>699</v>
      </c>
      <c r="Q712" s="22">
        <v>2.723889537962676E-2</v>
      </c>
      <c r="R712" s="19">
        <f t="shared" si="75"/>
        <v>2.6961087309527842E-2</v>
      </c>
      <c r="S712" s="22">
        <v>3.6493523554574914E-2</v>
      </c>
      <c r="T712" s="19">
        <f t="shared" si="76"/>
        <v>4.2875262575252426E-2</v>
      </c>
      <c r="U712" s="24">
        <v>3.8620501539559982E-2</v>
      </c>
      <c r="V712" s="24">
        <f t="shared" si="77"/>
        <v>4.2877119235597227E-2</v>
      </c>
      <c r="W712" s="23">
        <f t="shared" si="78"/>
        <v>3.5046406085270654E-3</v>
      </c>
      <c r="X712" s="24">
        <v>3.8191801248439461E-2</v>
      </c>
      <c r="Y712" s="24">
        <f t="shared" si="79"/>
        <v>4.2876689794864697E-2</v>
      </c>
      <c r="Z712" s="23">
        <f t="shared" si="80"/>
        <v>3.5046041249759963E-3</v>
      </c>
      <c r="AA712" s="36"/>
    </row>
    <row r="713" spans="4:27" ht="13.9" customHeight="1">
      <c r="D713" s="8"/>
      <c r="E713" s="9"/>
      <c r="F713" s="19"/>
      <c r="G713" s="19"/>
      <c r="H713" s="19"/>
      <c r="J713" s="45"/>
      <c r="K713" s="45"/>
      <c r="L713" s="45"/>
      <c r="M713" s="43"/>
      <c r="O713" s="12">
        <f t="shared" si="74"/>
        <v>58.333333333333336</v>
      </c>
      <c r="P713" s="13">
        <v>700</v>
      </c>
      <c r="Q713" s="22">
        <v>2.7238498457357263E-2</v>
      </c>
      <c r="R713" s="19">
        <f t="shared" si="75"/>
        <v>2.6972675045762617E-2</v>
      </c>
      <c r="S713" s="22">
        <v>3.6502612412938173E-2</v>
      </c>
      <c r="T713" s="19">
        <f t="shared" si="76"/>
        <v>4.2876600411322574E-2</v>
      </c>
      <c r="U713" s="24">
        <v>3.8626570012897377E-2</v>
      </c>
      <c r="V713" s="24">
        <f t="shared" si="77"/>
        <v>4.2878348194591576E-2</v>
      </c>
      <c r="W713" s="23">
        <f t="shared" si="78"/>
        <v>3.5047401518144561E-3</v>
      </c>
      <c r="X713" s="24">
        <v>3.8198478912558453E-2</v>
      </c>
      <c r="Y713" s="24">
        <f t="shared" si="79"/>
        <v>4.2877943822821729E-2</v>
      </c>
      <c r="Z713" s="23">
        <f t="shared" si="80"/>
        <v>3.5047057161585737E-3</v>
      </c>
      <c r="AA713" s="36"/>
    </row>
    <row r="714" spans="4:27" ht="13.9" customHeight="1">
      <c r="D714" s="8"/>
      <c r="E714" s="9"/>
      <c r="F714" s="19"/>
      <c r="G714" s="19"/>
      <c r="H714" s="19"/>
      <c r="J714" s="45"/>
      <c r="K714" s="45"/>
      <c r="L714" s="45"/>
      <c r="M714" s="43"/>
      <c r="O714" s="12">
        <f t="shared" si="74"/>
        <v>58.416666666666664</v>
      </c>
      <c r="P714" s="13">
        <v>701</v>
      </c>
      <c r="Q714" s="22">
        <v>2.7238119202346311E-2</v>
      </c>
      <c r="R714" s="19">
        <f t="shared" si="75"/>
        <v>2.6984164199696847E-2</v>
      </c>
      <c r="S714" s="22">
        <v>3.6511677316358515E-2</v>
      </c>
      <c r="T714" s="19">
        <f t="shared" si="76"/>
        <v>4.2877923886444069E-2</v>
      </c>
      <c r="U714" s="24">
        <v>3.8632622953793661E-2</v>
      </c>
      <c r="V714" s="24">
        <f t="shared" si="77"/>
        <v>4.2879564850916596E-2</v>
      </c>
      <c r="W714" s="23">
        <f t="shared" si="78"/>
        <v>3.5048386985405688E-3</v>
      </c>
      <c r="X714" s="24">
        <v>3.8205139348519657E-2</v>
      </c>
      <c r="Y714" s="24">
        <f t="shared" si="79"/>
        <v>4.2879185086423854E-2</v>
      </c>
      <c r="Z714" s="23">
        <f t="shared" si="80"/>
        <v>3.5048062731302121E-3</v>
      </c>
      <c r="AA714" s="36"/>
    </row>
    <row r="715" spans="4:27" ht="13.9" customHeight="1">
      <c r="D715" s="8"/>
      <c r="E715" s="9"/>
      <c r="F715" s="19"/>
      <c r="G715" s="19"/>
      <c r="H715" s="19"/>
      <c r="J715" s="45"/>
      <c r="K715" s="45"/>
      <c r="L715" s="45"/>
      <c r="M715" s="43"/>
      <c r="O715" s="12">
        <f t="shared" si="74"/>
        <v>58.5</v>
      </c>
      <c r="P715" s="13">
        <v>702</v>
      </c>
      <c r="Q715" s="22">
        <v>2.723775739842238E-2</v>
      </c>
      <c r="R715" s="19">
        <f t="shared" si="75"/>
        <v>2.6995555630459522E-2</v>
      </c>
      <c r="S715" s="22">
        <v>3.6520718346584324E-2</v>
      </c>
      <c r="T715" s="19">
        <f t="shared" si="76"/>
        <v>4.2879233155482588E-2</v>
      </c>
      <c r="U715" s="24">
        <v>3.8638660411050907E-2</v>
      </c>
      <c r="V715" s="24">
        <f t="shared" si="77"/>
        <v>4.2880769328971668E-2</v>
      </c>
      <c r="W715" s="23">
        <f t="shared" si="78"/>
        <v>3.5049362586458965E-3</v>
      </c>
      <c r="X715" s="24">
        <v>3.8211782611695888E-2</v>
      </c>
      <c r="Y715" s="24">
        <f t="shared" si="79"/>
        <v>4.288041371580209E-2</v>
      </c>
      <c r="Z715" s="23">
        <f t="shared" si="80"/>
        <v>3.5049058064553495E-3</v>
      </c>
      <c r="AA715" s="36"/>
    </row>
    <row r="716" spans="4:27" ht="13.9" customHeight="1">
      <c r="D716" s="8"/>
      <c r="E716" s="9"/>
      <c r="F716" s="19"/>
      <c r="G716" s="19"/>
      <c r="H716" s="19"/>
      <c r="J716" s="45"/>
      <c r="K716" s="45"/>
      <c r="L716" s="45"/>
      <c r="M716" s="43"/>
      <c r="O716" s="12">
        <f t="shared" si="74"/>
        <v>58.583333333333336</v>
      </c>
      <c r="P716" s="13">
        <v>703</v>
      </c>
      <c r="Q716" s="22">
        <v>2.7237412831871977E-2</v>
      </c>
      <c r="R716" s="19">
        <f t="shared" si="75"/>
        <v>2.7006850188767473E-2</v>
      </c>
      <c r="S716" s="22">
        <v>3.6529735585118628E-2</v>
      </c>
      <c r="T716" s="19">
        <f t="shared" si="76"/>
        <v>4.2880528370709659E-2</v>
      </c>
      <c r="U716" s="24">
        <v>3.8644682433369937E-2</v>
      </c>
      <c r="V716" s="24">
        <f t="shared" si="77"/>
        <v>4.2881961750233621E-2</v>
      </c>
      <c r="W716" s="23">
        <f t="shared" si="78"/>
        <v>3.5050328421084576E-3</v>
      </c>
      <c r="X716" s="24">
        <v>3.8218408757329847E-2</v>
      </c>
      <c r="Y716" s="24">
        <f t="shared" si="79"/>
        <v>4.2881629839638169E-2</v>
      </c>
      <c r="Z716" s="23">
        <f t="shared" si="80"/>
        <v>3.5050043265714148E-3</v>
      </c>
      <c r="AA716" s="36"/>
    </row>
    <row r="717" spans="4:27" ht="13.9" customHeight="1">
      <c r="D717" s="8"/>
      <c r="E717" s="9"/>
      <c r="F717" s="19"/>
      <c r="G717" s="19"/>
      <c r="H717" s="19"/>
      <c r="J717" s="45"/>
      <c r="K717" s="45"/>
      <c r="L717" s="45"/>
      <c r="M717" s="43"/>
      <c r="O717" s="12">
        <f t="shared" si="74"/>
        <v>58.666666666666664</v>
      </c>
      <c r="P717" s="13">
        <v>704</v>
      </c>
      <c r="Q717" s="22">
        <v>2.7237085291410335E-2</v>
      </c>
      <c r="R717" s="19">
        <f t="shared" si="75"/>
        <v>2.7018048717988075E-2</v>
      </c>
      <c r="S717" s="22">
        <v>3.6538729113217316E-2</v>
      </c>
      <c r="T717" s="19">
        <f t="shared" si="76"/>
        <v>4.2881809683836369E-2</v>
      </c>
      <c r="U717" s="24">
        <v>3.8650689069346988E-2</v>
      </c>
      <c r="V717" s="24">
        <f t="shared" si="77"/>
        <v>4.2883142235458971E-2</v>
      </c>
      <c r="W717" s="23">
        <f t="shared" si="78"/>
        <v>3.5051284586724574E-3</v>
      </c>
      <c r="X717" s="24">
        <v>3.822501784053256E-2</v>
      </c>
      <c r="Y717" s="24">
        <f t="shared" si="79"/>
        <v>4.2882833585779156E-2</v>
      </c>
      <c r="Z717" s="23">
        <f t="shared" si="80"/>
        <v>3.5051018438010395E-3</v>
      </c>
      <c r="AA717" s="36"/>
    </row>
    <row r="718" spans="4:27" ht="13.9" customHeight="1">
      <c r="D718" s="8"/>
      <c r="E718" s="9"/>
      <c r="F718" s="19"/>
      <c r="G718" s="19"/>
      <c r="H718" s="19"/>
      <c r="J718" s="45"/>
      <c r="K718" s="45"/>
      <c r="L718" s="45"/>
      <c r="M718" s="43"/>
      <c r="O718" s="12">
        <f t="shared" ref="O718:O781" si="81">P718/12</f>
        <v>58.75</v>
      </c>
      <c r="P718" s="13">
        <v>705</v>
      </c>
      <c r="Q718" s="22">
        <v>2.7236774568153432E-2</v>
      </c>
      <c r="R718" s="19">
        <f t="shared" ref="R718:R781" si="82">(1+Q719)^P719/(1+Q718)^P718-1</f>
        <v>2.7029152053829275E-2</v>
      </c>
      <c r="S718" s="22">
        <v>3.6547699011890256E-2</v>
      </c>
      <c r="T718" s="19">
        <f t="shared" ref="T718:T781" si="83">(1+S719)^P719/(1+S718)^P718-1</f>
        <v>4.2883077243657697E-2</v>
      </c>
      <c r="U718" s="24">
        <v>3.8656680367473717E-2</v>
      </c>
      <c r="V718" s="24">
        <f t="shared" ref="V718:V781" si="84">(1+U719)^P719/(1+U718)^P718-1</f>
        <v>4.288431090508471E-2</v>
      </c>
      <c r="W718" s="23">
        <f t="shared" si="78"/>
        <v>3.5052231180241478E-3</v>
      </c>
      <c r="X718" s="24">
        <v>3.8231609916283382E-2</v>
      </c>
      <c r="Y718" s="24">
        <f t="shared" si="79"/>
        <v>4.2884025080239585E-2</v>
      </c>
      <c r="Z718" s="23">
        <f t="shared" si="80"/>
        <v>3.5051983683984655E-3</v>
      </c>
      <c r="AA718" s="36"/>
    </row>
    <row r="719" spans="4:27" ht="13.9" customHeight="1">
      <c r="D719" s="8"/>
      <c r="E719" s="9"/>
      <c r="F719" s="19"/>
      <c r="G719" s="19"/>
      <c r="H719" s="19"/>
      <c r="J719" s="45"/>
      <c r="K719" s="45"/>
      <c r="L719" s="45"/>
      <c r="M719" s="43"/>
      <c r="O719" s="12">
        <f t="shared" si="81"/>
        <v>58.833333333333336</v>
      </c>
      <c r="P719" s="13">
        <v>706</v>
      </c>
      <c r="Q719" s="22">
        <v>2.7236480455590462E-2</v>
      </c>
      <c r="R719" s="19">
        <f t="shared" si="82"/>
        <v>2.7040161024060039E-2</v>
      </c>
      <c r="S719" s="22">
        <v>3.6556645361898843E-2</v>
      </c>
      <c r="T719" s="19">
        <f t="shared" si="83"/>
        <v>4.2884331198492776E-2</v>
      </c>
      <c r="U719" s="24">
        <v>3.8662656376136972E-2</v>
      </c>
      <c r="V719" s="24">
        <f t="shared" si="84"/>
        <v>4.2885467876596639E-2</v>
      </c>
      <c r="W719" s="23">
        <f t="shared" ref="W719:W782" si="85">(1+V718)^(1/12)-1</f>
        <v>3.5053168298235793E-3</v>
      </c>
      <c r="X719" s="24">
        <v>3.8238185039428441E-2</v>
      </c>
      <c r="Y719" s="24">
        <f t="shared" ref="Y719:Y782" si="86">(1+X720)^P720/(1+X719)^P719-1</f>
        <v>4.2885204447595138E-2</v>
      </c>
      <c r="Z719" s="23">
        <f t="shared" ref="Z719:Z782" si="87">(1+Y718)^(1/12)-1</f>
        <v>3.5052939104718295E-3</v>
      </c>
      <c r="AA719" s="36"/>
    </row>
    <row r="720" spans="4:27" ht="13.9" customHeight="1">
      <c r="D720" s="8"/>
      <c r="E720" s="9"/>
      <c r="F720" s="19"/>
      <c r="G720" s="19"/>
      <c r="H720" s="19"/>
      <c r="J720" s="45"/>
      <c r="K720" s="45"/>
      <c r="L720" s="45"/>
      <c r="M720" s="43"/>
      <c r="O720" s="12">
        <f t="shared" si="81"/>
        <v>58.916666666666664</v>
      </c>
      <c r="P720" s="13">
        <v>707</v>
      </c>
      <c r="Q720" s="22">
        <v>2.7236202749554961E-2</v>
      </c>
      <c r="R720" s="19">
        <f t="shared" si="82"/>
        <v>2.7051076449384759E-2</v>
      </c>
      <c r="S720" s="22">
        <v>3.6565568243756896E-2</v>
      </c>
      <c r="T720" s="19">
        <f t="shared" si="83"/>
        <v>4.2885571694306845E-2</v>
      </c>
      <c r="U720" s="24">
        <v>3.8668617143616135E-2</v>
      </c>
      <c r="V720" s="24">
        <f t="shared" si="84"/>
        <v>4.2886613267989926E-2</v>
      </c>
      <c r="W720" s="23">
        <f t="shared" si="85"/>
        <v>3.505409603494769E-3</v>
      </c>
      <c r="X720" s="24">
        <v>3.8244743264679304E-2</v>
      </c>
      <c r="Y720" s="24">
        <f t="shared" si="86"/>
        <v>4.2886371811984292E-2</v>
      </c>
      <c r="Z720" s="23">
        <f t="shared" si="87"/>
        <v>3.5053884800135826E-3</v>
      </c>
      <c r="AA720" s="36"/>
    </row>
    <row r="721" spans="4:27" ht="13.9" customHeight="1">
      <c r="D721" s="8"/>
      <c r="E721" s="9"/>
      <c r="F721" s="19"/>
      <c r="G721" s="19"/>
      <c r="H721" s="19"/>
      <c r="J721" s="45"/>
      <c r="K721" s="45"/>
      <c r="L721" s="45"/>
      <c r="M721" s="43"/>
      <c r="O721" s="12">
        <f t="shared" si="81"/>
        <v>59</v>
      </c>
      <c r="P721" s="13">
        <v>708</v>
      </c>
      <c r="Q721" s="22">
        <v>2.7235941248198836E-2</v>
      </c>
      <c r="R721" s="19">
        <f t="shared" si="82"/>
        <v>2.706189914263013E-2</v>
      </c>
      <c r="S721" s="22">
        <v>3.6574467737729544E-2</v>
      </c>
      <c r="T721" s="19">
        <f t="shared" si="83"/>
        <v>4.2886798876064391E-2</v>
      </c>
      <c r="U721" s="24">
        <v>3.8674562718083783E-2</v>
      </c>
      <c r="V721" s="24">
        <f t="shared" si="84"/>
        <v>4.2887747195246018E-2</v>
      </c>
      <c r="W721" s="23">
        <f t="shared" si="85"/>
        <v>3.5055014485019242E-3</v>
      </c>
      <c r="X721" s="24">
        <v>3.8251284646613648E-2</v>
      </c>
      <c r="Y721" s="24">
        <f t="shared" si="86"/>
        <v>4.2887527295467409E-2</v>
      </c>
      <c r="Z721" s="23">
        <f t="shared" si="87"/>
        <v>3.5054820869808712E-3</v>
      </c>
      <c r="AA721" s="36"/>
    </row>
    <row r="722" spans="4:27" ht="13.9" customHeight="1">
      <c r="D722" s="8"/>
      <c r="E722" s="9"/>
      <c r="F722" s="19"/>
      <c r="G722" s="19"/>
      <c r="H722" s="19"/>
      <c r="J722" s="45"/>
      <c r="K722" s="45"/>
      <c r="L722" s="45"/>
      <c r="M722" s="43"/>
      <c r="O722" s="12">
        <f t="shared" si="81"/>
        <v>59.083333333333336</v>
      </c>
      <c r="P722" s="13">
        <v>709</v>
      </c>
      <c r="Q722" s="22">
        <v>2.7235695751964384E-2</v>
      </c>
      <c r="R722" s="19">
        <f t="shared" si="82"/>
        <v>2.7072629909806967E-2</v>
      </c>
      <c r="S722" s="22">
        <v>3.6583343923833E-2</v>
      </c>
      <c r="T722" s="19">
        <f t="shared" si="83"/>
        <v>4.2888012886581839E-2</v>
      </c>
      <c r="U722" s="24">
        <v>3.8680493147604134E-2</v>
      </c>
      <c r="V722" s="24">
        <f t="shared" si="84"/>
        <v>4.2888869773091809E-2</v>
      </c>
      <c r="W722" s="23">
        <f t="shared" si="85"/>
        <v>3.5055923741482697E-3</v>
      </c>
      <c r="X722" s="24">
        <v>3.8257809239672813E-2</v>
      </c>
      <c r="Y722" s="24">
        <f t="shared" si="86"/>
        <v>4.2888671019077007E-2</v>
      </c>
      <c r="Z722" s="23">
        <f t="shared" si="87"/>
        <v>3.5055747411640859E-3</v>
      </c>
      <c r="AA722" s="36"/>
    </row>
    <row r="723" spans="4:27" ht="13.9" customHeight="1">
      <c r="D723" s="8"/>
      <c r="E723" s="9"/>
      <c r="F723" s="19"/>
      <c r="G723" s="19"/>
      <c r="H723" s="19"/>
      <c r="J723" s="45"/>
      <c r="K723" s="45"/>
      <c r="L723" s="45"/>
      <c r="M723" s="43"/>
      <c r="O723" s="12">
        <f t="shared" si="81"/>
        <v>59.166666666666664</v>
      </c>
      <c r="P723" s="13">
        <v>710</v>
      </c>
      <c r="Q723" s="22">
        <v>2.7235466063558755E-2</v>
      </c>
      <c r="R723" s="19">
        <f t="shared" si="82"/>
        <v>2.708326954921092E-2</v>
      </c>
      <c r="S723" s="22">
        <v>3.6592196881833905E-2</v>
      </c>
      <c r="T723" s="19">
        <f t="shared" si="83"/>
        <v>4.288921386777389E-2</v>
      </c>
      <c r="U723" s="24">
        <v>3.868640848013194E-2</v>
      </c>
      <c r="V723" s="24">
        <f t="shared" si="84"/>
        <v>4.2889981115652676E-2</v>
      </c>
      <c r="W723" s="23">
        <f t="shared" si="85"/>
        <v>3.5056823896360001E-3</v>
      </c>
      <c r="X723" s="24">
        <v>3.8264317098161804E-2</v>
      </c>
      <c r="Y723" s="24">
        <f t="shared" si="86"/>
        <v>4.2889803103551172E-2</v>
      </c>
      <c r="Z723" s="23">
        <f t="shared" si="87"/>
        <v>3.5056664522716829E-3</v>
      </c>
      <c r="AA723" s="36"/>
    </row>
    <row r="724" spans="4:27" ht="13.9" customHeight="1">
      <c r="D724" s="8"/>
      <c r="E724" s="9"/>
      <c r="F724" s="19"/>
      <c r="G724" s="19"/>
      <c r="H724" s="19"/>
      <c r="J724" s="45"/>
      <c r="K724" s="45"/>
      <c r="L724" s="45"/>
      <c r="M724" s="43"/>
      <c r="O724" s="12">
        <f t="shared" si="81"/>
        <v>59.25</v>
      </c>
      <c r="P724" s="13">
        <v>711</v>
      </c>
      <c r="Q724" s="22">
        <v>2.7235251987926645E-2</v>
      </c>
      <c r="R724" s="19">
        <f t="shared" si="82"/>
        <v>2.7093818851581908E-2</v>
      </c>
      <c r="S724" s="22">
        <v>3.6601026691249317E-2</v>
      </c>
      <c r="T724" s="19">
        <f t="shared" si="83"/>
        <v>4.2890401959420732E-2</v>
      </c>
      <c r="U724" s="24">
        <v>3.8692308763512262E-2</v>
      </c>
      <c r="V724" s="24">
        <f t="shared" si="84"/>
        <v>4.2891081335057368E-2</v>
      </c>
      <c r="W724" s="23">
        <f t="shared" si="85"/>
        <v>3.5057715041191262E-3</v>
      </c>
      <c r="X724" s="24">
        <v>3.8270808276249291E-2</v>
      </c>
      <c r="Y724" s="24">
        <f t="shared" si="86"/>
        <v>4.2890923666096148E-2</v>
      </c>
      <c r="Z724" s="23">
        <f t="shared" si="87"/>
        <v>3.5057572299876938E-3</v>
      </c>
      <c r="AA724" s="36"/>
    </row>
    <row r="725" spans="4:27" ht="13.9" customHeight="1">
      <c r="D725" s="8"/>
      <c r="E725" s="9"/>
      <c r="F725" s="19"/>
      <c r="G725" s="19"/>
      <c r="H725" s="19"/>
      <c r="J725" s="45"/>
      <c r="K725" s="45"/>
      <c r="L725" s="45"/>
      <c r="M725" s="43"/>
      <c r="O725" s="12">
        <f t="shared" si="81"/>
        <v>59.333333333333336</v>
      </c>
      <c r="P725" s="13">
        <v>712</v>
      </c>
      <c r="Q725" s="22">
        <v>2.7235053332224313E-2</v>
      </c>
      <c r="R725" s="19">
        <f t="shared" si="82"/>
        <v>2.7104278601532528E-2</v>
      </c>
      <c r="S725" s="22">
        <v>3.6609833431345828E-2</v>
      </c>
      <c r="T725" s="19">
        <f t="shared" si="83"/>
        <v>4.2891577300230965E-2</v>
      </c>
      <c r="U725" s="24">
        <v>3.8698194045478695E-2</v>
      </c>
      <c r="V725" s="24">
        <f t="shared" si="84"/>
        <v>4.2892170543199271E-2</v>
      </c>
      <c r="W725" s="23">
        <f t="shared" si="85"/>
        <v>3.5058597265913427E-3</v>
      </c>
      <c r="X725" s="24">
        <v>3.8277282827964498E-2</v>
      </c>
      <c r="Y725" s="24">
        <f t="shared" si="86"/>
        <v>4.2892032825228688E-2</v>
      </c>
      <c r="Z725" s="23">
        <f t="shared" si="87"/>
        <v>3.5058470837132649E-3</v>
      </c>
      <c r="AA725" s="36"/>
    </row>
    <row r="726" spans="4:27" ht="13.9" customHeight="1">
      <c r="D726" s="8"/>
      <c r="E726" s="9"/>
      <c r="F726" s="19"/>
      <c r="G726" s="19"/>
      <c r="H726" s="19"/>
      <c r="J726" s="45"/>
      <c r="K726" s="45"/>
      <c r="L726" s="45"/>
      <c r="M726" s="43"/>
      <c r="O726" s="12">
        <f t="shared" si="81"/>
        <v>59.416666666666664</v>
      </c>
      <c r="P726" s="13">
        <v>713</v>
      </c>
      <c r="Q726" s="22">
        <v>2.7234869905795156E-2</v>
      </c>
      <c r="R726" s="19">
        <f t="shared" si="82"/>
        <v>2.7114649575762595E-2</v>
      </c>
      <c r="S726" s="22">
        <v>3.6618617181139568E-2</v>
      </c>
      <c r="T726" s="19">
        <f t="shared" si="83"/>
        <v>4.2892740027212328E-2</v>
      </c>
      <c r="U726" s="24">
        <v>3.8704064373653591E-2</v>
      </c>
      <c r="V726" s="24">
        <f t="shared" si="84"/>
        <v>4.2893248850426113E-2</v>
      </c>
      <c r="W726" s="23">
        <f t="shared" si="85"/>
        <v>3.5059470660276926E-3</v>
      </c>
      <c r="X726" s="24">
        <v>3.8283740807198985E-2</v>
      </c>
      <c r="Y726" s="24">
        <f t="shared" si="86"/>
        <v>4.2893130696939341E-2</v>
      </c>
      <c r="Z726" s="23">
        <f t="shared" si="87"/>
        <v>3.505936022954792E-3</v>
      </c>
      <c r="AA726" s="36"/>
    </row>
    <row r="727" spans="4:27" ht="13.9" customHeight="1">
      <c r="D727" s="8"/>
      <c r="E727" s="9"/>
      <c r="F727" s="19"/>
      <c r="G727" s="19"/>
      <c r="H727" s="19"/>
      <c r="J727" s="45"/>
      <c r="K727" s="45"/>
      <c r="L727" s="45"/>
      <c r="M727" s="43"/>
      <c r="O727" s="12">
        <f t="shared" si="81"/>
        <v>59.5</v>
      </c>
      <c r="P727" s="13">
        <v>714</v>
      </c>
      <c r="Q727" s="22">
        <v>2.7234701520143068E-2</v>
      </c>
      <c r="R727" s="19">
        <f t="shared" si="82"/>
        <v>2.7124932543871383E-2</v>
      </c>
      <c r="S727" s="22">
        <v>3.6627378019395973E-2</v>
      </c>
      <c r="T727" s="19">
        <f t="shared" si="83"/>
        <v>4.2893890275953028E-2</v>
      </c>
      <c r="U727" s="24">
        <v>3.8709919795546721E-2</v>
      </c>
      <c r="V727" s="24">
        <f t="shared" si="84"/>
        <v>4.2894316365919671E-2</v>
      </c>
      <c r="W727" s="23">
        <f t="shared" si="85"/>
        <v>3.5060335312788737E-3</v>
      </c>
      <c r="X727" s="24">
        <v>3.8290182267704864E-2</v>
      </c>
      <c r="Y727" s="24">
        <f t="shared" si="86"/>
        <v>4.2894217395996748E-2</v>
      </c>
      <c r="Z727" s="23">
        <f t="shared" si="87"/>
        <v>3.5060240570154999E-3</v>
      </c>
      <c r="AA727" s="36"/>
    </row>
    <row r="728" spans="4:27" ht="13.9" customHeight="1">
      <c r="D728" s="8"/>
      <c r="E728" s="9"/>
      <c r="F728" s="19"/>
      <c r="G728" s="19"/>
      <c r="H728" s="19"/>
      <c r="J728" s="45"/>
      <c r="K728" s="45"/>
      <c r="L728" s="45"/>
      <c r="M728" s="43"/>
      <c r="O728" s="12">
        <f t="shared" si="81"/>
        <v>59.583333333333336</v>
      </c>
      <c r="P728" s="13">
        <v>715</v>
      </c>
      <c r="Q728" s="22">
        <v>2.7234547988907565E-2</v>
      </c>
      <c r="R728" s="19">
        <f t="shared" si="82"/>
        <v>2.7135128269069275E-2</v>
      </c>
      <c r="S728" s="22">
        <v>3.6636116024628906E-2</v>
      </c>
      <c r="T728" s="19">
        <f t="shared" si="83"/>
        <v>4.2895028180279127E-2</v>
      </c>
      <c r="U728" s="24">
        <v>3.871576035855484E-2</v>
      </c>
      <c r="V728" s="24">
        <f t="shared" si="84"/>
        <v>4.2895373197786579E-2</v>
      </c>
      <c r="W728" s="23">
        <f t="shared" si="85"/>
        <v>3.5061191311023254E-3</v>
      </c>
      <c r="X728" s="24">
        <v>3.8296607263093696E-2</v>
      </c>
      <c r="Y728" s="24">
        <f t="shared" si="86"/>
        <v>4.2895293036618209E-2</v>
      </c>
      <c r="Z728" s="23">
        <f t="shared" si="87"/>
        <v>3.5061111951011359E-3</v>
      </c>
      <c r="AA728" s="36"/>
    </row>
    <row r="729" spans="4:27" ht="13.9" customHeight="1">
      <c r="D729" s="8"/>
      <c r="E729" s="9"/>
      <c r="F729" s="19"/>
      <c r="G729" s="19"/>
      <c r="H729" s="19"/>
      <c r="J729" s="45"/>
      <c r="K729" s="45"/>
      <c r="L729" s="45"/>
      <c r="M729" s="43"/>
      <c r="O729" s="12">
        <f t="shared" si="81"/>
        <v>59.666666666666664</v>
      </c>
      <c r="P729" s="13">
        <v>716</v>
      </c>
      <c r="Q729" s="22">
        <v>2.7234409127839809E-2</v>
      </c>
      <c r="R729" s="19">
        <f t="shared" si="82"/>
        <v>2.7145237507584241E-2</v>
      </c>
      <c r="S729" s="22">
        <v>3.6644831275100875E-2</v>
      </c>
      <c r="T729" s="19">
        <f t="shared" si="83"/>
        <v>4.2896153873204224E-2</v>
      </c>
      <c r="U729" s="24">
        <v>3.8721586109960127E-2</v>
      </c>
      <c r="V729" s="24">
        <f t="shared" si="84"/>
        <v>4.2896419453201773E-2</v>
      </c>
      <c r="W729" s="23">
        <f t="shared" si="85"/>
        <v>3.5062038741691115E-3</v>
      </c>
      <c r="X729" s="24">
        <v>3.8303015846836708E-2</v>
      </c>
      <c r="Y729" s="24">
        <f t="shared" si="86"/>
        <v>4.2896357731252444E-2</v>
      </c>
      <c r="Z729" s="23">
        <f t="shared" si="87"/>
        <v>3.5061974463723722E-3</v>
      </c>
      <c r="AA729" s="36"/>
    </row>
    <row r="730" spans="4:27" ht="13.9" customHeight="1">
      <c r="D730" s="8"/>
      <c r="E730" s="9"/>
      <c r="F730" s="19"/>
      <c r="G730" s="19"/>
      <c r="H730" s="19"/>
      <c r="J730" s="45"/>
      <c r="K730" s="45"/>
      <c r="L730" s="45"/>
      <c r="M730" s="43"/>
      <c r="O730" s="12">
        <f t="shared" si="81"/>
        <v>59.75</v>
      </c>
      <c r="P730" s="13">
        <v>717</v>
      </c>
      <c r="Q730" s="22">
        <v>2.7234284754777738E-2</v>
      </c>
      <c r="R730" s="19">
        <f t="shared" si="82"/>
        <v>2.7155261008075637E-2</v>
      </c>
      <c r="S730" s="22">
        <v>3.6653523848822811E-2</v>
      </c>
      <c r="T730" s="19">
        <f t="shared" si="83"/>
        <v>4.2897267486128765E-2</v>
      </c>
      <c r="U730" s="24">
        <v>3.8727397096930849E-2</v>
      </c>
      <c r="V730" s="24">
        <f t="shared" si="84"/>
        <v>4.2897455238350757E-2</v>
      </c>
      <c r="W730" s="23">
        <f t="shared" si="85"/>
        <v>3.5062877690754668E-3</v>
      </c>
      <c r="X730" s="24">
        <v>3.8309408072263684E-2</v>
      </c>
      <c r="Y730" s="24">
        <f t="shared" si="86"/>
        <v>4.2897411591930945E-2</v>
      </c>
      <c r="Z730" s="23">
        <f t="shared" si="87"/>
        <v>3.5062828198491047E-3</v>
      </c>
      <c r="AA730" s="36"/>
    </row>
    <row r="731" spans="4:27" ht="13.9" customHeight="1">
      <c r="D731" s="8"/>
      <c r="E731" s="9"/>
      <c r="F731" s="19"/>
      <c r="G731" s="19"/>
      <c r="H731" s="19"/>
      <c r="J731" s="45"/>
      <c r="K731" s="45"/>
      <c r="L731" s="45"/>
      <c r="M731" s="43"/>
      <c r="O731" s="12">
        <f t="shared" si="81"/>
        <v>59.833333333333336</v>
      </c>
      <c r="P731" s="13">
        <v>718</v>
      </c>
      <c r="Q731" s="22">
        <v>2.7234174689621415E-2</v>
      </c>
      <c r="R731" s="19">
        <f t="shared" si="82"/>
        <v>2.7165199513765836E-2</v>
      </c>
      <c r="S731" s="22">
        <v>3.6662193823553846E-2</v>
      </c>
      <c r="T731" s="19">
        <f t="shared" si="83"/>
        <v>4.2898369148367976E-2</v>
      </c>
      <c r="U731" s="24">
        <v>3.873319336651937E-2</v>
      </c>
      <c r="V731" s="24">
        <f t="shared" si="84"/>
        <v>4.2898480657945104E-2</v>
      </c>
      <c r="W731" s="23">
        <f t="shared" si="85"/>
        <v>3.5063708243385783E-3</v>
      </c>
      <c r="X731" s="24">
        <v>3.8315783992562746E-2</v>
      </c>
      <c r="Y731" s="24">
        <f t="shared" si="86"/>
        <v>4.2898454728050206E-2</v>
      </c>
      <c r="Z731" s="23">
        <f t="shared" si="87"/>
        <v>3.5063673245168125E-3</v>
      </c>
      <c r="AA731" s="36"/>
    </row>
    <row r="732" spans="4:27" ht="13.9" customHeight="1">
      <c r="D732" s="8"/>
      <c r="E732" s="9"/>
      <c r="F732" s="19"/>
      <c r="G732" s="19"/>
      <c r="H732" s="19"/>
      <c r="J732" s="45"/>
      <c r="K732" s="45"/>
      <c r="L732" s="45"/>
      <c r="M732" s="43"/>
      <c r="O732" s="12">
        <f t="shared" si="81"/>
        <v>59.916666666666664</v>
      </c>
      <c r="P732" s="13">
        <v>719</v>
      </c>
      <c r="Q732" s="22">
        <v>2.7234078754310609E-2</v>
      </c>
      <c r="R732" s="19">
        <f t="shared" si="82"/>
        <v>2.7175053759930012E-2</v>
      </c>
      <c r="S732" s="22">
        <v>3.6670841276800648E-2</v>
      </c>
      <c r="T732" s="19">
        <f t="shared" si="83"/>
        <v>4.2899458988695072E-2</v>
      </c>
      <c r="U732" s="24">
        <v>3.8738974965662365E-2</v>
      </c>
      <c r="V732" s="24">
        <f t="shared" si="84"/>
        <v>4.2899495815705846E-2</v>
      </c>
      <c r="W732" s="23">
        <f t="shared" si="85"/>
        <v>3.506453048356839E-3</v>
      </c>
      <c r="X732" s="24">
        <v>3.8322143660778352E-2</v>
      </c>
      <c r="Y732" s="24">
        <f t="shared" si="86"/>
        <v>4.28994872501689E-2</v>
      </c>
      <c r="Z732" s="23">
        <f t="shared" si="87"/>
        <v>3.5064509691500323E-3</v>
      </c>
      <c r="AA732" s="36"/>
    </row>
    <row r="733" spans="4:27" ht="13.9" customHeight="1">
      <c r="D733" s="8"/>
      <c r="E733" s="9"/>
      <c r="F733" s="19"/>
      <c r="G733" s="19"/>
      <c r="H733" s="19"/>
      <c r="J733" s="45"/>
      <c r="K733" s="45"/>
      <c r="L733" s="45"/>
      <c r="M733" s="43"/>
      <c r="O733" s="12">
        <f t="shared" si="81"/>
        <v>60</v>
      </c>
      <c r="P733" s="13">
        <v>720</v>
      </c>
      <c r="Q733" s="22">
        <v>2.7233996772799696E-2</v>
      </c>
      <c r="R733" s="19">
        <f t="shared" si="82"/>
        <v>2.7184824475760871E-2</v>
      </c>
      <c r="S733" s="22">
        <v>3.6679466285817641E-2</v>
      </c>
      <c r="T733" s="19">
        <f t="shared" si="83"/>
        <v>4.2900537134004768E-2</v>
      </c>
      <c r="U733" s="24">
        <v>3.8744741941179273E-2</v>
      </c>
      <c r="V733" s="24">
        <f t="shared" si="84"/>
        <v>4.2900500814857967E-2</v>
      </c>
      <c r="W733" s="23">
        <f t="shared" si="85"/>
        <v>3.5065344494493722E-3</v>
      </c>
      <c r="X733" s="24">
        <v>3.8328487129813293E-2</v>
      </c>
      <c r="Y733" s="24">
        <f t="shared" si="86"/>
        <v>4.2900509265584308E-2</v>
      </c>
      <c r="Z733" s="23">
        <f t="shared" si="87"/>
        <v>3.5065337626163373E-3</v>
      </c>
      <c r="AA733" s="36"/>
    </row>
    <row r="734" spans="4:27" ht="13.9" customHeight="1">
      <c r="D734" s="8"/>
      <c r="E734" s="9"/>
      <c r="F734" s="19"/>
      <c r="G734" s="19"/>
      <c r="H734" s="19"/>
      <c r="J734" s="45"/>
      <c r="K734" s="45"/>
      <c r="L734" s="45"/>
      <c r="M734" s="43"/>
      <c r="O734" s="12">
        <f t="shared" si="81"/>
        <v>60.083333333333336</v>
      </c>
      <c r="P734" s="13">
        <v>721</v>
      </c>
      <c r="Q734" s="22">
        <v>2.7233928571035015E-2</v>
      </c>
      <c r="R734" s="19">
        <f t="shared" si="82"/>
        <v>2.7194512384523417E-2</v>
      </c>
      <c r="S734" s="22">
        <v>3.6688068927607009E-2</v>
      </c>
      <c r="T734" s="19">
        <f t="shared" si="83"/>
        <v>4.29016037098644E-2</v>
      </c>
      <c r="U734" s="24">
        <v>3.8750494339772734E-2</v>
      </c>
      <c r="V734" s="24">
        <f t="shared" si="84"/>
        <v>4.2901495757291741E-2</v>
      </c>
      <c r="W734" s="23">
        <f t="shared" si="85"/>
        <v>3.506615035895555E-3</v>
      </c>
      <c r="X734" s="24">
        <v>3.8334814452425814E-2</v>
      </c>
      <c r="Y734" s="24">
        <f t="shared" si="86"/>
        <v>4.2901520881602817E-2</v>
      </c>
      <c r="Z734" s="23">
        <f t="shared" si="87"/>
        <v>3.5066157135217324E-3</v>
      </c>
      <c r="AA734" s="36"/>
    </row>
    <row r="735" spans="4:27" ht="13.9" customHeight="1">
      <c r="D735" s="8"/>
      <c r="E735" s="9"/>
      <c r="F735" s="19"/>
      <c r="G735" s="19"/>
      <c r="H735" s="19"/>
      <c r="J735" s="45"/>
      <c r="K735" s="45"/>
      <c r="L735" s="45"/>
      <c r="M735" s="43"/>
      <c r="O735" s="12">
        <f t="shared" si="81"/>
        <v>60.166666666666664</v>
      </c>
      <c r="P735" s="13">
        <v>722</v>
      </c>
      <c r="Q735" s="22">
        <v>2.7233873976932887E-2</v>
      </c>
      <c r="R735" s="19">
        <f t="shared" si="82"/>
        <v>2.7204118201108018E-2</v>
      </c>
      <c r="S735" s="22">
        <v>3.6696649278917803E-2</v>
      </c>
      <c r="T735" s="19">
        <f t="shared" si="83"/>
        <v>4.2902658841097896E-2</v>
      </c>
      <c r="U735" s="24">
        <v>3.8756232208027486E-2</v>
      </c>
      <c r="V735" s="24">
        <f t="shared" si="84"/>
        <v>4.2902480743103322E-2</v>
      </c>
      <c r="W735" s="23">
        <f t="shared" si="85"/>
        <v>3.5066948158679612E-3</v>
      </c>
      <c r="X735" s="24">
        <v>3.8341125681230048E-2</v>
      </c>
      <c r="Y735" s="24">
        <f t="shared" si="86"/>
        <v>4.2902522204308458E-2</v>
      </c>
      <c r="Z735" s="23">
        <f t="shared" si="87"/>
        <v>3.5066968304728885E-3</v>
      </c>
      <c r="AA735" s="36"/>
    </row>
    <row r="736" spans="4:27" ht="13.9" customHeight="1">
      <c r="D736" s="8"/>
      <c r="E736" s="9"/>
      <c r="F736" s="19"/>
      <c r="G736" s="19"/>
      <c r="H736" s="19"/>
      <c r="J736" s="45"/>
      <c r="K736" s="45"/>
      <c r="L736" s="45"/>
      <c r="M736" s="43"/>
      <c r="O736" s="12">
        <f t="shared" si="81"/>
        <v>60.25</v>
      </c>
      <c r="P736" s="13">
        <v>723</v>
      </c>
      <c r="Q736" s="22">
        <v>2.723383282035452E-2</v>
      </c>
      <c r="R736" s="19">
        <f t="shared" si="82"/>
        <v>2.7213642636834123E-2</v>
      </c>
      <c r="S736" s="22">
        <v>3.6705207416247054E-2</v>
      </c>
      <c r="T736" s="19">
        <f t="shared" si="83"/>
        <v>4.2903702649709219E-2</v>
      </c>
      <c r="U736" s="24">
        <v>3.8761955592409025E-2</v>
      </c>
      <c r="V736" s="24">
        <f t="shared" si="84"/>
        <v>4.2903455872557839E-2</v>
      </c>
      <c r="W736" s="23">
        <f t="shared" si="85"/>
        <v>3.5067737973946134E-3</v>
      </c>
      <c r="X736" s="24">
        <v>3.8347420868695581E-2</v>
      </c>
      <c r="Y736" s="24">
        <f t="shared" si="86"/>
        <v>4.2903513338344634E-2</v>
      </c>
      <c r="Z736" s="23">
        <f t="shared" si="87"/>
        <v>3.5067771219785548E-3</v>
      </c>
      <c r="AA736" s="36"/>
    </row>
    <row r="737" spans="4:27" ht="13.9" customHeight="1">
      <c r="D737" s="8"/>
      <c r="E737" s="9"/>
      <c r="F737" s="19"/>
      <c r="G737" s="19"/>
      <c r="H737" s="19"/>
      <c r="J737" s="45"/>
      <c r="K737" s="45"/>
      <c r="L737" s="45"/>
      <c r="M737" s="43"/>
      <c r="O737" s="12">
        <f t="shared" si="81"/>
        <v>60.333333333333336</v>
      </c>
      <c r="P737" s="13">
        <v>724</v>
      </c>
      <c r="Q737" s="22">
        <v>2.7233804933086914E-2</v>
      </c>
      <c r="R737" s="19">
        <f t="shared" si="82"/>
        <v>2.7223086393435736E-2</v>
      </c>
      <c r="S737" s="22">
        <v>3.6713743415837996E-2</v>
      </c>
      <c r="T737" s="19">
        <f t="shared" si="83"/>
        <v>4.2904735258689541E-2</v>
      </c>
      <c r="U737" s="24">
        <v>3.8767664539264279E-2</v>
      </c>
      <c r="V737" s="24">
        <f t="shared" si="84"/>
        <v>4.2904421244715607E-2</v>
      </c>
      <c r="W737" s="23">
        <f t="shared" si="85"/>
        <v>3.5068519885177452E-3</v>
      </c>
      <c r="X737" s="24">
        <v>3.8353700067146557E-2</v>
      </c>
      <c r="Y737" s="24">
        <f t="shared" si="86"/>
        <v>4.2904494387787429E-2</v>
      </c>
      <c r="Z737" s="23">
        <f t="shared" si="87"/>
        <v>3.5068565964313514E-3</v>
      </c>
      <c r="AA737" s="36"/>
    </row>
    <row r="738" spans="4:27" ht="13.9" customHeight="1">
      <c r="D738" s="8"/>
      <c r="E738" s="9"/>
      <c r="F738" s="19"/>
      <c r="G738" s="19"/>
      <c r="H738" s="19"/>
      <c r="J738" s="45"/>
      <c r="K738" s="45"/>
      <c r="L738" s="45"/>
      <c r="M738" s="43"/>
      <c r="O738" s="12">
        <f t="shared" si="81"/>
        <v>60.416666666666664</v>
      </c>
      <c r="P738" s="13">
        <v>725</v>
      </c>
      <c r="Q738" s="22">
        <v>2.7233790148817327E-2</v>
      </c>
      <c r="R738" s="19">
        <f t="shared" si="82"/>
        <v>2.7232450168840794E-2</v>
      </c>
      <c r="S738" s="22">
        <v>3.6722257353682286E-2</v>
      </c>
      <c r="T738" s="19">
        <f t="shared" si="83"/>
        <v>4.2905756787125826E-2</v>
      </c>
      <c r="U738" s="24">
        <v>3.8773359094820714E-2</v>
      </c>
      <c r="V738" s="24">
        <f t="shared" si="84"/>
        <v>4.290537695686103E-2</v>
      </c>
      <c r="W738" s="23">
        <f t="shared" si="85"/>
        <v>3.5069293971821125E-3</v>
      </c>
      <c r="X738" s="24">
        <v>3.8359963328761681E-2</v>
      </c>
      <c r="Y738" s="24">
        <f t="shared" si="86"/>
        <v>4.2905465455316261E-2</v>
      </c>
      <c r="Z738" s="23">
        <f t="shared" si="87"/>
        <v>3.5069352621792671E-3</v>
      </c>
      <c r="AA738" s="36"/>
    </row>
    <row r="739" spans="4:27" ht="13.9" customHeight="1">
      <c r="D739" s="8"/>
      <c r="E739" s="9"/>
      <c r="F739" s="19"/>
      <c r="G739" s="19"/>
      <c r="H739" s="19"/>
      <c r="J739" s="45"/>
      <c r="K739" s="45"/>
      <c r="L739" s="45"/>
      <c r="M739" s="43"/>
      <c r="O739" s="12">
        <f t="shared" si="81"/>
        <v>60.5</v>
      </c>
      <c r="P739" s="13">
        <v>726</v>
      </c>
      <c r="Q739" s="22">
        <v>2.7233788303113737E-2</v>
      </c>
      <c r="R739" s="19">
        <f t="shared" si="82"/>
        <v>2.7241734653696836E-2</v>
      </c>
      <c r="S739" s="22">
        <v>3.6730749305517341E-2</v>
      </c>
      <c r="T739" s="19">
        <f t="shared" si="83"/>
        <v>4.2906767354701669E-2</v>
      </c>
      <c r="U739" s="24">
        <v>3.8779039305185226E-2</v>
      </c>
      <c r="V739" s="24">
        <f t="shared" si="84"/>
        <v>4.2906323105947441E-2</v>
      </c>
      <c r="W739" s="23">
        <f t="shared" si="85"/>
        <v>3.5070060311908069E-3</v>
      </c>
      <c r="X739" s="24">
        <v>3.8366210705573556E-2</v>
      </c>
      <c r="Y739" s="24">
        <f t="shared" si="86"/>
        <v>4.2906426642384199E-2</v>
      </c>
      <c r="Z739" s="23">
        <f t="shared" si="87"/>
        <v>3.5070131274574923E-3</v>
      </c>
      <c r="AA739" s="36"/>
    </row>
    <row r="740" spans="4:27" ht="13.9" customHeight="1">
      <c r="D740" s="8"/>
      <c r="E740" s="9"/>
      <c r="F740" s="19"/>
      <c r="G740" s="19"/>
      <c r="H740" s="19"/>
      <c r="J740" s="45"/>
      <c r="K740" s="45"/>
      <c r="L740" s="45"/>
      <c r="M740" s="43"/>
      <c r="O740" s="12">
        <f t="shared" si="81"/>
        <v>60.583333333333336</v>
      </c>
      <c r="P740" s="13">
        <v>727</v>
      </c>
      <c r="Q740" s="22">
        <v>2.7233799233402411E-2</v>
      </c>
      <c r="R740" s="19">
        <f t="shared" si="82"/>
        <v>2.7250940532555612E-2</v>
      </c>
      <c r="S740" s="22">
        <v>3.6739219346828111E-2</v>
      </c>
      <c r="T740" s="19">
        <f t="shared" si="83"/>
        <v>4.2907767079155557E-2</v>
      </c>
      <c r="U740" s="24">
        <v>3.8784705216343918E-2</v>
      </c>
      <c r="V740" s="24">
        <f t="shared" si="84"/>
        <v>4.2907259787816621E-2</v>
      </c>
      <c r="W740" s="23">
        <f t="shared" si="85"/>
        <v>3.5070818983198304E-3</v>
      </c>
      <c r="X740" s="24">
        <v>3.8372442249467786E-2</v>
      </c>
      <c r="Y740" s="24">
        <f t="shared" si="86"/>
        <v>4.2907378050140998E-2</v>
      </c>
      <c r="Z740" s="23">
        <f t="shared" si="87"/>
        <v>3.5070902004032956E-3</v>
      </c>
      <c r="AA740" s="36"/>
    </row>
    <row r="741" spans="4:27" ht="13.9" customHeight="1">
      <c r="D741" s="8"/>
      <c r="E741" s="9"/>
      <c r="F741" s="19"/>
      <c r="G741" s="19"/>
      <c r="H741" s="19"/>
      <c r="J741" s="45"/>
      <c r="K741" s="45"/>
      <c r="L741" s="45"/>
      <c r="M741" s="43"/>
      <c r="O741" s="12">
        <f t="shared" si="81"/>
        <v>60.666666666666664</v>
      </c>
      <c r="P741" s="13">
        <v>728</v>
      </c>
      <c r="Q741" s="22">
        <v>2.7233822778946815E-2</v>
      </c>
      <c r="R741" s="19">
        <f t="shared" si="82"/>
        <v>2.7260068483781152E-2</v>
      </c>
      <c r="S741" s="22">
        <v>3.6747667552846863E-2</v>
      </c>
      <c r="T741" s="19">
        <f t="shared" si="83"/>
        <v>4.2908756076769361E-2</v>
      </c>
      <c r="U741" s="24">
        <v>3.879035687416188E-2</v>
      </c>
      <c r="V741" s="24">
        <f t="shared" si="84"/>
        <v>4.2908187097374428E-2</v>
      </c>
      <c r="W741" s="23">
        <f t="shared" si="85"/>
        <v>3.5071570062563673E-3</v>
      </c>
      <c r="X741" s="24">
        <v>3.8378658012183653E-2</v>
      </c>
      <c r="Y741" s="24">
        <f t="shared" si="86"/>
        <v>4.2908319777721138E-2</v>
      </c>
      <c r="Z741" s="23">
        <f t="shared" si="87"/>
        <v>3.5071664891290766E-3</v>
      </c>
      <c r="AA741" s="36"/>
    </row>
    <row r="742" spans="4:27" ht="13.9" customHeight="1">
      <c r="D742" s="8"/>
      <c r="E742" s="9"/>
      <c r="F742" s="19"/>
      <c r="G742" s="19"/>
      <c r="H742" s="19"/>
      <c r="J742" s="45"/>
      <c r="K742" s="45"/>
      <c r="L742" s="45"/>
      <c r="M742" s="43"/>
      <c r="O742" s="12">
        <f t="shared" si="81"/>
        <v>60.75</v>
      </c>
      <c r="P742" s="13">
        <v>729</v>
      </c>
      <c r="Q742" s="22">
        <v>2.723385878082607E-2</v>
      </c>
      <c r="R742" s="19">
        <f t="shared" si="82"/>
        <v>2.7269119179652357E-2</v>
      </c>
      <c r="S742" s="22">
        <v>3.6756093998552286E-2</v>
      </c>
      <c r="T742" s="19">
        <f t="shared" si="83"/>
        <v>4.2909734462909688E-2</v>
      </c>
      <c r="U742" s="24">
        <v>3.8795994324382521E-2</v>
      </c>
      <c r="V742" s="24">
        <f t="shared" si="84"/>
        <v>4.2909105128207337E-2</v>
      </c>
      <c r="W742" s="23">
        <f t="shared" si="85"/>
        <v>3.5072313626121066E-3</v>
      </c>
      <c r="X742" s="24">
        <v>3.8384858045312553E-2</v>
      </c>
      <c r="Y742" s="24">
        <f t="shared" si="86"/>
        <v>4.2909251924017067E-2</v>
      </c>
      <c r="Z742" s="23">
        <f t="shared" si="87"/>
        <v>3.5072420015862527E-3</v>
      </c>
      <c r="AA742" s="36"/>
    </row>
    <row r="743" spans="4:27" ht="13.9" customHeight="1">
      <c r="D743" s="8"/>
      <c r="E743" s="9"/>
      <c r="F743" s="19"/>
      <c r="G743" s="19"/>
      <c r="H743" s="19"/>
      <c r="J743" s="45"/>
      <c r="K743" s="45"/>
      <c r="L743" s="45"/>
      <c r="M743" s="43"/>
      <c r="O743" s="12">
        <f t="shared" si="81"/>
        <v>60.833333333333336</v>
      </c>
      <c r="P743" s="13">
        <v>730</v>
      </c>
      <c r="Q743" s="22">
        <v>2.7233907081914532E-2</v>
      </c>
      <c r="R743" s="19">
        <f t="shared" si="82"/>
        <v>2.7278093286884797E-2</v>
      </c>
      <c r="S743" s="22">
        <v>3.6764498758670383E-2</v>
      </c>
      <c r="T743" s="19">
        <f t="shared" si="83"/>
        <v>4.2910702351543373E-2</v>
      </c>
      <c r="U743" s="24">
        <v>3.8801617612626682E-2</v>
      </c>
      <c r="V743" s="24">
        <f t="shared" si="84"/>
        <v>4.2910013973743721E-2</v>
      </c>
      <c r="W743" s="23">
        <f t="shared" si="85"/>
        <v>3.5073049748932661E-3</v>
      </c>
      <c r="X743" s="24">
        <v>3.8391042400298225E-2</v>
      </c>
      <c r="Y743" s="24">
        <f t="shared" si="86"/>
        <v>4.2910174586661354E-2</v>
      </c>
      <c r="Z743" s="23">
        <f t="shared" si="87"/>
        <v>3.5073167457062571E-3</v>
      </c>
      <c r="AA743" s="36"/>
    </row>
    <row r="744" spans="4:27" ht="13.9" customHeight="1">
      <c r="D744" s="8"/>
      <c r="E744" s="9"/>
      <c r="F744" s="19"/>
      <c r="G744" s="19"/>
      <c r="H744" s="19"/>
      <c r="J744" s="45"/>
      <c r="K744" s="45"/>
      <c r="L744" s="45"/>
      <c r="M744" s="43"/>
      <c r="O744" s="12">
        <f t="shared" si="81"/>
        <v>60.916666666666664</v>
      </c>
      <c r="P744" s="13">
        <v>731</v>
      </c>
      <c r="Q744" s="22">
        <v>2.7233967526861136E-2</v>
      </c>
      <c r="R744" s="19">
        <f t="shared" si="82"/>
        <v>2.7286991465463428E-2</v>
      </c>
      <c r="S744" s="22">
        <v>3.6772881907674249E-2</v>
      </c>
      <c r="T744" s="19">
        <f t="shared" si="83"/>
        <v>4.2911659855782158E-2</v>
      </c>
      <c r="U744" s="24">
        <v>3.8807226784393078E-2</v>
      </c>
      <c r="V744" s="24">
        <f t="shared" si="84"/>
        <v>4.2910913725691779E-2</v>
      </c>
      <c r="W744" s="23">
        <f t="shared" si="85"/>
        <v>3.5073778505929631E-3</v>
      </c>
      <c r="X744" s="24">
        <v>3.8397211128436526E-2</v>
      </c>
      <c r="Y744" s="24">
        <f t="shared" si="86"/>
        <v>4.2911087862179897E-2</v>
      </c>
      <c r="Z744" s="23">
        <f t="shared" si="87"/>
        <v>3.5073907293197149E-3</v>
      </c>
      <c r="AA744" s="36"/>
    </row>
    <row r="745" spans="4:27" ht="13.9" customHeight="1">
      <c r="D745" s="8"/>
      <c r="E745" s="9"/>
      <c r="F745" s="19"/>
      <c r="G745" s="19"/>
      <c r="H745" s="19"/>
      <c r="J745" s="45"/>
      <c r="K745" s="45"/>
      <c r="L745" s="45"/>
      <c r="M745" s="43"/>
      <c r="O745" s="12">
        <f t="shared" si="81"/>
        <v>61</v>
      </c>
      <c r="P745" s="13">
        <v>732</v>
      </c>
      <c r="Q745" s="22">
        <v>2.7234039962068746E-2</v>
      </c>
      <c r="R745" s="19">
        <f t="shared" si="82"/>
        <v>2.7295814370045024E-2</v>
      </c>
      <c r="S745" s="22">
        <v>3.678124351978429E-2</v>
      </c>
      <c r="T745" s="19">
        <f t="shared" si="83"/>
        <v>4.2912607086280641E-2</v>
      </c>
      <c r="U745" s="24">
        <v>3.881282188505697E-2</v>
      </c>
      <c r="V745" s="24">
        <f t="shared" si="84"/>
        <v>4.2911804475619153E-2</v>
      </c>
      <c r="W745" s="23">
        <f t="shared" si="85"/>
        <v>3.5074499970668693E-3</v>
      </c>
      <c r="X745" s="24">
        <v>3.8403364280874763E-2</v>
      </c>
      <c r="Y745" s="24">
        <f t="shared" si="86"/>
        <v>4.2911991846177999E-2</v>
      </c>
      <c r="Z745" s="23">
        <f t="shared" si="87"/>
        <v>3.5074639601684332E-3</v>
      </c>
      <c r="AA745" s="36"/>
    </row>
    <row r="746" spans="4:27" ht="13.9" customHeight="1">
      <c r="D746" s="8"/>
      <c r="E746" s="9"/>
      <c r="F746" s="19"/>
      <c r="G746" s="19"/>
      <c r="H746" s="19"/>
      <c r="J746" s="45"/>
      <c r="K746" s="45"/>
      <c r="L746" s="45"/>
      <c r="M746" s="43"/>
      <c r="O746" s="12">
        <f t="shared" si="81"/>
        <v>61.083333333333336</v>
      </c>
      <c r="P746" s="13">
        <v>733</v>
      </c>
      <c r="Q746" s="22">
        <v>2.7234124235674617E-2</v>
      </c>
      <c r="R746" s="19">
        <f t="shared" si="82"/>
        <v>2.7304562649432373E-2</v>
      </c>
      <c r="S746" s="22">
        <v>3.6789583668967341E-2</v>
      </c>
      <c r="T746" s="19">
        <f t="shared" si="83"/>
        <v>4.2913544154406402E-2</v>
      </c>
      <c r="U746" s="24">
        <v>3.8818402959870824E-2</v>
      </c>
      <c r="V746" s="24">
        <f t="shared" si="84"/>
        <v>4.2912686312806425E-2</v>
      </c>
      <c r="W746" s="23">
        <f t="shared" si="85"/>
        <v>3.5075214216588879E-3</v>
      </c>
      <c r="X746" s="24">
        <v>3.8409501908611254E-2</v>
      </c>
      <c r="Y746" s="24">
        <f t="shared" si="86"/>
        <v>4.2912886633514224E-2</v>
      </c>
      <c r="Z746" s="23">
        <f t="shared" si="87"/>
        <v>3.5075364459200564E-3</v>
      </c>
      <c r="AA746" s="36"/>
    </row>
    <row r="747" spans="4:27" ht="13.9" customHeight="1">
      <c r="D747" s="8"/>
      <c r="E747" s="9"/>
      <c r="F747" s="19"/>
      <c r="G747" s="19"/>
      <c r="H747" s="19"/>
      <c r="J747" s="45"/>
      <c r="K747" s="45"/>
      <c r="L747" s="45"/>
      <c r="M747" s="43"/>
      <c r="O747" s="12">
        <f t="shared" si="81"/>
        <v>61.166666666666664</v>
      </c>
      <c r="P747" s="13">
        <v>734</v>
      </c>
      <c r="Q747" s="22">
        <v>2.7234220197530412E-2</v>
      </c>
      <c r="R747" s="19">
        <f t="shared" si="82"/>
        <v>2.7313236946493902E-2</v>
      </c>
      <c r="S747" s="22">
        <v>3.6797902428938434E-2</v>
      </c>
      <c r="T747" s="19">
        <f t="shared" si="83"/>
        <v>4.2914471168790991E-2</v>
      </c>
      <c r="U747" s="24">
        <v>3.8823970053962098E-2</v>
      </c>
      <c r="V747" s="24">
        <f t="shared" si="84"/>
        <v>4.2913559327579565E-2</v>
      </c>
      <c r="W747" s="23">
        <f t="shared" si="85"/>
        <v>3.5075921315297354E-3</v>
      </c>
      <c r="X747" s="24">
        <v>3.8415624062495546E-2</v>
      </c>
      <c r="Y747" s="24">
        <f t="shared" si="86"/>
        <v>4.2913772317418886E-2</v>
      </c>
      <c r="Z747" s="23">
        <f t="shared" si="87"/>
        <v>3.5076081941827209E-3</v>
      </c>
      <c r="AA747" s="36"/>
    </row>
    <row r="748" spans="4:27" ht="13.9" customHeight="1">
      <c r="D748" s="8"/>
      <c r="E748" s="9"/>
      <c r="F748" s="19"/>
      <c r="G748" s="19"/>
      <c r="H748" s="19"/>
      <c r="J748" s="45"/>
      <c r="K748" s="45"/>
      <c r="L748" s="45"/>
      <c r="M748" s="43"/>
      <c r="O748" s="12">
        <f t="shared" si="81"/>
        <v>61.25</v>
      </c>
      <c r="P748" s="13">
        <v>735</v>
      </c>
      <c r="Q748" s="22">
        <v>2.7234327699182437E-2</v>
      </c>
      <c r="R748" s="19">
        <f t="shared" si="82"/>
        <v>2.7321837898147905E-2</v>
      </c>
      <c r="S748" s="22">
        <v>3.6806199873159695E-2</v>
      </c>
      <c r="T748" s="19">
        <f t="shared" si="83"/>
        <v>4.2915388237429797E-2</v>
      </c>
      <c r="U748" s="24">
        <v>3.8829523212335015E-2</v>
      </c>
      <c r="V748" s="24">
        <f t="shared" si="84"/>
        <v>4.2914423607649077E-2</v>
      </c>
      <c r="W748" s="23">
        <f t="shared" si="85"/>
        <v>3.5076621339236169E-3</v>
      </c>
      <c r="X748" s="24">
        <v>3.8421730793227304E-2</v>
      </c>
      <c r="Y748" s="24">
        <f t="shared" si="86"/>
        <v>4.2914648991143167E-2</v>
      </c>
      <c r="Z748" s="23">
        <f t="shared" si="87"/>
        <v>3.5076792124337786E-3</v>
      </c>
      <c r="AA748" s="36"/>
    </row>
    <row r="749" spans="4:27" ht="13.9" customHeight="1">
      <c r="D749" s="8"/>
      <c r="E749" s="9"/>
      <c r="F749" s="19"/>
      <c r="G749" s="19"/>
      <c r="H749" s="19"/>
      <c r="J749" s="45"/>
      <c r="K749" s="45"/>
      <c r="L749" s="45"/>
      <c r="M749" s="43"/>
      <c r="O749" s="12">
        <f t="shared" si="81"/>
        <v>61.333333333333336</v>
      </c>
      <c r="P749" s="13">
        <v>736</v>
      </c>
      <c r="Q749" s="22">
        <v>2.723444659385188E-2</v>
      </c>
      <c r="R749" s="19">
        <f t="shared" si="82"/>
        <v>2.7330366135944972E-2</v>
      </c>
      <c r="S749" s="22">
        <v>3.6814476074840341E-2</v>
      </c>
      <c r="T749" s="19">
        <f t="shared" si="83"/>
        <v>4.2916295467260168E-2</v>
      </c>
      <c r="U749" s="24">
        <v>3.8835062479868787E-2</v>
      </c>
      <c r="V749" s="24">
        <f t="shared" si="84"/>
        <v>4.2915279240755222E-2</v>
      </c>
      <c r="W749" s="23">
        <f t="shared" si="85"/>
        <v>3.5077314358755718E-3</v>
      </c>
      <c r="X749" s="24">
        <v>3.8427822151357205E-2</v>
      </c>
      <c r="Y749" s="24">
        <f t="shared" si="86"/>
        <v>4.2915516746030002E-2</v>
      </c>
      <c r="Z749" s="23">
        <f t="shared" si="87"/>
        <v>3.5077495081521359E-3</v>
      </c>
      <c r="AA749" s="36"/>
    </row>
    <row r="750" spans="4:27" ht="13.9" customHeight="1">
      <c r="D750" s="8"/>
      <c r="E750" s="9"/>
      <c r="F750" s="19"/>
      <c r="G750" s="19"/>
      <c r="H750" s="19"/>
      <c r="J750" s="45"/>
      <c r="K750" s="45"/>
      <c r="L750" s="45"/>
      <c r="M750" s="43"/>
      <c r="O750" s="12">
        <f t="shared" si="81"/>
        <v>61.416666666666664</v>
      </c>
      <c r="P750" s="13">
        <v>737</v>
      </c>
      <c r="Q750" s="22">
        <v>2.7234576736416605E-2</v>
      </c>
      <c r="R750" s="19">
        <f t="shared" si="82"/>
        <v>2.7338822286044673E-2</v>
      </c>
      <c r="S750" s="22">
        <v>3.6822731106938011E-2</v>
      </c>
      <c r="T750" s="19">
        <f t="shared" si="83"/>
        <v>4.2917192964231576E-2</v>
      </c>
      <c r="U750" s="24">
        <v>3.8840587901317392E-2</v>
      </c>
      <c r="V750" s="24">
        <f t="shared" si="84"/>
        <v>4.2916126313322644E-2</v>
      </c>
      <c r="W750" s="23">
        <f t="shared" si="85"/>
        <v>3.5078000444221935E-3</v>
      </c>
      <c r="X750" s="24">
        <v>3.8433898187285376E-2</v>
      </c>
      <c r="Y750" s="24">
        <f t="shared" si="86"/>
        <v>4.2916375673272666E-2</v>
      </c>
      <c r="Z750" s="23">
        <f t="shared" si="87"/>
        <v>3.5078190886641547E-3</v>
      </c>
      <c r="AA750" s="36"/>
    </row>
    <row r="751" spans="4:27" ht="13.9" customHeight="1">
      <c r="D751" s="8"/>
      <c r="E751" s="9"/>
      <c r="F751" s="19"/>
      <c r="G751" s="19"/>
      <c r="H751" s="19"/>
      <c r="J751" s="45"/>
      <c r="K751" s="45"/>
      <c r="L751" s="45"/>
      <c r="M751" s="43"/>
      <c r="O751" s="12">
        <f t="shared" si="81"/>
        <v>61.5</v>
      </c>
      <c r="P751" s="13">
        <v>738</v>
      </c>
      <c r="Q751" s="22">
        <v>2.723471798339161E-2</v>
      </c>
      <c r="R751" s="19">
        <f t="shared" si="82"/>
        <v>2.7347206968055149E-2</v>
      </c>
      <c r="S751" s="22">
        <v>3.6830965042157882E-2</v>
      </c>
      <c r="T751" s="19">
        <f t="shared" si="83"/>
        <v>4.291808083200066E-2</v>
      </c>
      <c r="U751" s="24">
        <v>3.8846099521309796E-2</v>
      </c>
      <c r="V751" s="24">
        <f t="shared" si="84"/>
        <v>4.2916964911540623E-2</v>
      </c>
      <c r="W751" s="23">
        <f t="shared" si="85"/>
        <v>3.5078679664950485E-3</v>
      </c>
      <c r="X751" s="24">
        <v>3.8439958951262065E-2</v>
      </c>
      <c r="Y751" s="24">
        <f t="shared" si="86"/>
        <v>4.2917225862603381E-2</v>
      </c>
      <c r="Z751" s="23">
        <f t="shared" si="87"/>
        <v>3.507887961283318E-3</v>
      </c>
      <c r="AA751" s="36"/>
    </row>
    <row r="752" spans="4:27" ht="13.9" customHeight="1">
      <c r="D752" s="8"/>
      <c r="E752" s="9"/>
      <c r="F752" s="19"/>
      <c r="G752" s="19"/>
      <c r="H752" s="19"/>
      <c r="J752" s="45"/>
      <c r="K752" s="45"/>
      <c r="L752" s="45"/>
      <c r="M752" s="43"/>
      <c r="O752" s="12">
        <f t="shared" si="81"/>
        <v>61.583333333333336</v>
      </c>
      <c r="P752" s="13">
        <v>739</v>
      </c>
      <c r="Q752" s="22">
        <v>2.7234870192910376E-2</v>
      </c>
      <c r="R752" s="19">
        <f t="shared" si="82"/>
        <v>2.7355520797359478E-2</v>
      </c>
      <c r="S752" s="22">
        <v>3.683917795295244E-2</v>
      </c>
      <c r="T752" s="19">
        <f t="shared" si="83"/>
        <v>4.291895917516686E-2</v>
      </c>
      <c r="U752" s="24">
        <v>3.8851597384349512E-2</v>
      </c>
      <c r="V752" s="24">
        <f t="shared" si="84"/>
        <v>4.2917795119778113E-2</v>
      </c>
      <c r="W752" s="23">
        <f t="shared" si="85"/>
        <v>3.5079352090068294E-3</v>
      </c>
      <c r="X752" s="24">
        <v>3.8446004493387198E-2</v>
      </c>
      <c r="Y752" s="24">
        <f t="shared" si="86"/>
        <v>4.2918067403166837E-2</v>
      </c>
      <c r="Z752" s="23">
        <f t="shared" si="87"/>
        <v>3.5079561332065357E-3</v>
      </c>
      <c r="AA752" s="36"/>
    </row>
    <row r="753" spans="4:27" ht="13.9" customHeight="1">
      <c r="D753" s="8"/>
      <c r="E753" s="9"/>
      <c r="F753" s="19"/>
      <c r="G753" s="19"/>
      <c r="H753" s="19"/>
      <c r="J753" s="45"/>
      <c r="K753" s="45"/>
      <c r="L753" s="45"/>
      <c r="M753" s="43"/>
      <c r="O753" s="12">
        <f t="shared" si="81"/>
        <v>61.666666666666664</v>
      </c>
      <c r="P753" s="13">
        <v>740</v>
      </c>
      <c r="Q753" s="22">
        <v>2.7235033224706662E-2</v>
      </c>
      <c r="R753" s="19">
        <f t="shared" si="82"/>
        <v>2.7363764382847267E-2</v>
      </c>
      <c r="S753" s="22">
        <v>3.6847369911523709E-2</v>
      </c>
      <c r="T753" s="19">
        <f t="shared" si="83"/>
        <v>4.2919828095297818E-2</v>
      </c>
      <c r="U753" s="24">
        <v>3.8857081534813487E-2</v>
      </c>
      <c r="V753" s="24">
        <f t="shared" si="84"/>
        <v>4.291861702244737E-2</v>
      </c>
      <c r="W753" s="23">
        <f t="shared" si="85"/>
        <v>3.5080017787241236E-3</v>
      </c>
      <c r="X753" s="24">
        <v>3.845203486360993E-2</v>
      </c>
      <c r="Y753" s="24">
        <f t="shared" si="86"/>
        <v>4.2918900382804326E-2</v>
      </c>
      <c r="Z753" s="23">
        <f t="shared" si="87"/>
        <v>3.5080236115831998E-3</v>
      </c>
      <c r="AA753" s="36"/>
    </row>
    <row r="754" spans="4:27" ht="13.9" customHeight="1">
      <c r="D754" s="8"/>
      <c r="E754" s="9"/>
      <c r="F754" s="19"/>
      <c r="G754" s="19"/>
      <c r="H754" s="19"/>
      <c r="J754" s="45"/>
      <c r="K754" s="45"/>
      <c r="L754" s="45"/>
      <c r="M754" s="43"/>
      <c r="O754" s="12">
        <f t="shared" si="81"/>
        <v>61.75</v>
      </c>
      <c r="P754" s="13">
        <v>741</v>
      </c>
      <c r="Q754" s="22">
        <v>2.7235206940096068E-2</v>
      </c>
      <c r="R754" s="19">
        <f t="shared" si="82"/>
        <v>2.737193832860485E-2</v>
      </c>
      <c r="S754" s="22">
        <v>3.6855540989821245E-2</v>
      </c>
      <c r="T754" s="19">
        <f t="shared" si="83"/>
        <v>4.2920687693596582E-2</v>
      </c>
      <c r="U754" s="24">
        <v>3.8862552016952989E-2</v>
      </c>
      <c r="V754" s="24">
        <f t="shared" si="84"/>
        <v>4.2919430702669015E-2</v>
      </c>
      <c r="W754" s="23">
        <f t="shared" si="85"/>
        <v>3.5080676824170709E-3</v>
      </c>
      <c r="X754" s="24">
        <v>3.8458050111728426E-2</v>
      </c>
      <c r="Y754" s="24">
        <f t="shared" si="86"/>
        <v>4.2919724888891952E-2</v>
      </c>
      <c r="Z754" s="23">
        <f t="shared" si="87"/>
        <v>3.5080904034587856E-3</v>
      </c>
      <c r="AA754" s="36"/>
    </row>
    <row r="755" spans="4:27" ht="13.9" customHeight="1">
      <c r="D755" s="8"/>
      <c r="E755" s="9"/>
      <c r="F755" s="19"/>
      <c r="G755" s="19"/>
      <c r="H755" s="19"/>
      <c r="J755" s="45"/>
      <c r="K755" s="45"/>
      <c r="L755" s="45"/>
      <c r="M755" s="43"/>
      <c r="O755" s="12">
        <f t="shared" si="81"/>
        <v>61.833333333333336</v>
      </c>
      <c r="P755" s="13">
        <v>742</v>
      </c>
      <c r="Q755" s="22">
        <v>2.7235391201958059E-2</v>
      </c>
      <c r="R755" s="19">
        <f t="shared" si="82"/>
        <v>2.7380043232962725E-2</v>
      </c>
      <c r="S755" s="22">
        <v>3.6863691259543252E-2</v>
      </c>
      <c r="T755" s="19">
        <f t="shared" si="83"/>
        <v>4.2921538070257892E-2</v>
      </c>
      <c r="U755" s="24">
        <v>3.8868008874892501E-2</v>
      </c>
      <c r="V755" s="24">
        <f t="shared" si="84"/>
        <v>4.2920236242513843E-2</v>
      </c>
      <c r="W755" s="23">
        <f t="shared" si="85"/>
        <v>3.5081329267516725E-3</v>
      </c>
      <c r="X755" s="24">
        <v>3.8464050287390084E-2</v>
      </c>
      <c r="Y755" s="24">
        <f t="shared" si="86"/>
        <v>4.2920541007616553E-2</v>
      </c>
      <c r="Z755" s="23">
        <f t="shared" si="87"/>
        <v>3.5081565158403549E-3</v>
      </c>
      <c r="AA755" s="36"/>
    </row>
    <row r="756" spans="4:27" ht="13.9" customHeight="1">
      <c r="D756" s="8"/>
      <c r="E756" s="9"/>
      <c r="F756" s="19"/>
      <c r="G756" s="19"/>
      <c r="H756" s="19"/>
      <c r="J756" s="45"/>
      <c r="K756" s="45"/>
      <c r="L756" s="45"/>
      <c r="M756" s="43"/>
      <c r="O756" s="12">
        <f t="shared" si="81"/>
        <v>61.916666666666664</v>
      </c>
      <c r="P756" s="13">
        <v>743</v>
      </c>
      <c r="Q756" s="22">
        <v>2.7235585874718415E-2</v>
      </c>
      <c r="R756" s="19">
        <f t="shared" si="82"/>
        <v>2.7388079689236955E-2</v>
      </c>
      <c r="S756" s="22">
        <v>3.68718207921368E-2</v>
      </c>
      <c r="T756" s="19">
        <f t="shared" si="83"/>
        <v>4.2922379324609627E-2</v>
      </c>
      <c r="U756" s="24">
        <v>3.8873452152629717E-2</v>
      </c>
      <c r="V756" s="24">
        <f t="shared" si="84"/>
        <v>4.2921033723838597E-2</v>
      </c>
      <c r="W756" s="23">
        <f t="shared" si="85"/>
        <v>3.5081975183102188E-3</v>
      </c>
      <c r="X756" s="24">
        <v>3.8470035440090866E-2</v>
      </c>
      <c r="Y756" s="24">
        <f t="shared" si="86"/>
        <v>4.2921348824504602E-2</v>
      </c>
      <c r="Z756" s="23">
        <f t="shared" si="87"/>
        <v>3.5082219556408223E-3</v>
      </c>
      <c r="AA756" s="36"/>
    </row>
    <row r="757" spans="4:27" ht="13.9" customHeight="1">
      <c r="D757" s="8"/>
      <c r="E757" s="9"/>
      <c r="F757" s="19"/>
      <c r="G757" s="19"/>
      <c r="H757" s="19"/>
      <c r="J757" s="45"/>
      <c r="K757" s="45"/>
      <c r="L757" s="45"/>
      <c r="M757" s="43"/>
      <c r="O757" s="12">
        <f t="shared" si="81"/>
        <v>62</v>
      </c>
      <c r="P757" s="13">
        <v>744</v>
      </c>
      <c r="Q757" s="22">
        <v>2.7235790824331252E-2</v>
      </c>
      <c r="R757" s="19">
        <f t="shared" si="82"/>
        <v>2.7396048285186048E-2</v>
      </c>
      <c r="S757" s="22">
        <v>3.6879929658798494E-2</v>
      </c>
      <c r="T757" s="19">
        <f t="shared" si="83"/>
        <v>4.2923211554238172E-2</v>
      </c>
      <c r="U757" s="24">
        <v>3.88788818940351E-2</v>
      </c>
      <c r="V757" s="24">
        <f t="shared" si="84"/>
        <v>4.2921823227225708E-2</v>
      </c>
      <c r="W757" s="23">
        <f t="shared" si="85"/>
        <v>3.5082614636581244E-3</v>
      </c>
      <c r="X757" s="24">
        <v>3.8476005619175524E-2</v>
      </c>
      <c r="Y757" s="24">
        <f t="shared" si="86"/>
        <v>4.2922148423965245E-2</v>
      </c>
      <c r="Z757" s="23">
        <f t="shared" si="87"/>
        <v>3.5082867297191456E-3</v>
      </c>
      <c r="AA757" s="36"/>
    </row>
    <row r="758" spans="4:27" ht="13.9" customHeight="1">
      <c r="D758" s="8"/>
      <c r="E758" s="9"/>
      <c r="F758" s="19"/>
      <c r="G758" s="19"/>
      <c r="H758" s="19"/>
      <c r="J758" s="45"/>
      <c r="K758" s="45"/>
      <c r="L758" s="45"/>
      <c r="M758" s="43"/>
      <c r="O758" s="12">
        <f t="shared" si="81"/>
        <v>62.083333333333336</v>
      </c>
      <c r="P758" s="13">
        <v>745</v>
      </c>
      <c r="Q758" s="22">
        <v>2.7236005918261696E-2</v>
      </c>
      <c r="R758" s="19">
        <f t="shared" si="82"/>
        <v>2.740394960396042E-2</v>
      </c>
      <c r="S758" s="22">
        <v>3.6888017930473804E-2</v>
      </c>
      <c r="T758" s="19">
        <f t="shared" si="83"/>
        <v>4.2924034856414606E-2</v>
      </c>
      <c r="U758" s="24">
        <v>3.8884298142852103E-2</v>
      </c>
      <c r="V758" s="24">
        <f t="shared" si="84"/>
        <v>4.2922604832521749E-2</v>
      </c>
      <c r="W758" s="23">
        <f t="shared" si="85"/>
        <v>3.5083247692577757E-3</v>
      </c>
      <c r="X758" s="24">
        <v>3.8481960873837151E-2</v>
      </c>
      <c r="Y758" s="24">
        <f t="shared" si="86"/>
        <v>4.2922939890035039E-2</v>
      </c>
      <c r="Z758" s="23">
        <f t="shared" si="87"/>
        <v>3.5083508448450207E-3</v>
      </c>
      <c r="AA758" s="36"/>
    </row>
    <row r="759" spans="4:27" ht="13.9" customHeight="1">
      <c r="D759" s="8"/>
      <c r="E759" s="9"/>
      <c r="F759" s="19"/>
      <c r="G759" s="19"/>
      <c r="H759" s="19"/>
      <c r="J759" s="45"/>
      <c r="K759" s="45"/>
      <c r="L759" s="45"/>
      <c r="M759" s="43"/>
      <c r="O759" s="12">
        <f t="shared" si="81"/>
        <v>62.166666666666664</v>
      </c>
      <c r="P759" s="13">
        <v>746</v>
      </c>
      <c r="Q759" s="22">
        <v>2.723623102546946E-2</v>
      </c>
      <c r="R759" s="19">
        <f t="shared" si="82"/>
        <v>2.741178422237045E-2</v>
      </c>
      <c r="S759" s="22">
        <v>3.6896085677858181E-2</v>
      </c>
      <c r="T759" s="19">
        <f t="shared" si="83"/>
        <v>4.2924849326477998E-2</v>
      </c>
      <c r="U759" s="24">
        <v>3.8889700942696503E-2</v>
      </c>
      <c r="V759" s="24">
        <f t="shared" si="84"/>
        <v>4.2923378619426966E-2</v>
      </c>
      <c r="W759" s="23">
        <f t="shared" si="85"/>
        <v>3.508387441512939E-3</v>
      </c>
      <c r="X759" s="24">
        <v>3.8487901253117629E-2</v>
      </c>
      <c r="Y759" s="24">
        <f t="shared" si="86"/>
        <v>4.29237233051738E-2</v>
      </c>
      <c r="Z759" s="23">
        <f t="shared" si="87"/>
        <v>3.5084143077581675E-3</v>
      </c>
      <c r="AA759" s="36"/>
    </row>
    <row r="760" spans="4:27" ht="13.9" customHeight="1">
      <c r="D760" s="8"/>
      <c r="E760" s="9"/>
      <c r="F760" s="19"/>
      <c r="G760" s="19"/>
      <c r="H760" s="19"/>
      <c r="J760" s="45"/>
      <c r="K760" s="45"/>
      <c r="L760" s="45"/>
      <c r="M760" s="43"/>
      <c r="O760" s="12">
        <f t="shared" si="81"/>
        <v>62.25</v>
      </c>
      <c r="P760" s="13">
        <v>747</v>
      </c>
      <c r="Q760" s="22">
        <v>2.7236466016390182E-2</v>
      </c>
      <c r="R760" s="19">
        <f t="shared" si="82"/>
        <v>2.7419552713491502E-2</v>
      </c>
      <c r="S760" s="22">
        <v>3.6904132971396608E-2</v>
      </c>
      <c r="T760" s="19">
        <f t="shared" si="83"/>
        <v>4.2925655059810941E-2</v>
      </c>
      <c r="U760" s="24">
        <v>3.8895090337056848E-2</v>
      </c>
      <c r="V760" s="24">
        <f t="shared" si="84"/>
        <v>4.2924144665119623E-2</v>
      </c>
      <c r="W760" s="23">
        <f t="shared" si="85"/>
        <v>3.5084494868156124E-3</v>
      </c>
      <c r="X760" s="24">
        <v>3.8493826805906517E-2</v>
      </c>
      <c r="Y760" s="24">
        <f t="shared" si="86"/>
        <v>4.2924498751382822E-2</v>
      </c>
      <c r="Z760" s="23">
        <f t="shared" si="87"/>
        <v>3.5084771250721847E-3</v>
      </c>
      <c r="AA760" s="36"/>
    </row>
    <row r="761" spans="4:27" ht="13.9" customHeight="1">
      <c r="D761" s="8"/>
      <c r="E761" s="9"/>
      <c r="F761" s="19"/>
      <c r="G761" s="19"/>
      <c r="H761" s="19"/>
      <c r="J761" s="45"/>
      <c r="K761" s="45"/>
      <c r="L761" s="45"/>
      <c r="M761" s="43"/>
      <c r="O761" s="12">
        <f t="shared" si="81"/>
        <v>62.333333333333336</v>
      </c>
      <c r="P761" s="13">
        <v>748</v>
      </c>
      <c r="Q761" s="22">
        <v>2.7236710762920779E-2</v>
      </c>
      <c r="R761" s="19">
        <f t="shared" si="82"/>
        <v>2.7427255644341786E-2</v>
      </c>
      <c r="S761" s="22">
        <v>3.6912159881284712E-2</v>
      </c>
      <c r="T761" s="19">
        <f t="shared" si="83"/>
        <v>4.2926452149901095E-2</v>
      </c>
      <c r="U761" s="24">
        <v>3.8900466369292674E-2</v>
      </c>
      <c r="V761" s="24">
        <f t="shared" si="84"/>
        <v>4.2924903047955709E-2</v>
      </c>
      <c r="W761" s="23">
        <f t="shared" si="85"/>
        <v>3.5085109113557333E-3</v>
      </c>
      <c r="X761" s="24">
        <v>3.8499737580941717E-2</v>
      </c>
      <c r="Y761" s="24">
        <f t="shared" si="86"/>
        <v>4.2925266309818078E-2</v>
      </c>
      <c r="Z761" s="23">
        <f t="shared" si="87"/>
        <v>3.5085393033633672E-3</v>
      </c>
      <c r="AA761" s="36"/>
    </row>
    <row r="762" spans="4:27" ht="13.9" customHeight="1">
      <c r="D762" s="8"/>
      <c r="E762" s="9"/>
      <c r="F762" s="19"/>
      <c r="G762" s="19"/>
      <c r="H762" s="19"/>
      <c r="J762" s="45"/>
      <c r="K762" s="45"/>
      <c r="L762" s="45"/>
      <c r="M762" s="43"/>
      <c r="O762" s="12">
        <f t="shared" si="81"/>
        <v>62.416666666666664</v>
      </c>
      <c r="P762" s="13">
        <v>749</v>
      </c>
      <c r="Q762" s="22">
        <v>2.7236965138401237E-2</v>
      </c>
      <c r="R762" s="19">
        <f t="shared" si="82"/>
        <v>2.74348935773574E-2</v>
      </c>
      <c r="S762" s="22">
        <v>3.6920166477468319E-2</v>
      </c>
      <c r="T762" s="19">
        <f t="shared" si="83"/>
        <v>4.292724068978826E-2</v>
      </c>
      <c r="U762" s="24">
        <v>3.8905829082636068E-2</v>
      </c>
      <c r="V762" s="24">
        <f t="shared" si="84"/>
        <v>4.2925653844552825E-2</v>
      </c>
      <c r="W762" s="23">
        <f t="shared" si="85"/>
        <v>3.5085717214171641E-3</v>
      </c>
      <c r="X762" s="24">
        <v>3.8505633626808811E-2</v>
      </c>
      <c r="Y762" s="24">
        <f t="shared" si="86"/>
        <v>4.2926026061080647E-2</v>
      </c>
      <c r="Z762" s="23">
        <f t="shared" si="87"/>
        <v>3.5086008491405085E-3</v>
      </c>
      <c r="AA762" s="36"/>
    </row>
    <row r="763" spans="4:27" ht="13.9" customHeight="1">
      <c r="D763" s="8"/>
      <c r="E763" s="9"/>
      <c r="F763" s="19"/>
      <c r="G763" s="19"/>
      <c r="H763" s="19"/>
      <c r="J763" s="45"/>
      <c r="K763" s="45"/>
      <c r="L763" s="45"/>
      <c r="M763" s="43"/>
      <c r="O763" s="12">
        <f t="shared" si="81"/>
        <v>62.5</v>
      </c>
      <c r="P763" s="13">
        <v>750</v>
      </c>
      <c r="Q763" s="22">
        <v>2.7237229017599063E-2</v>
      </c>
      <c r="R763" s="19">
        <f t="shared" si="82"/>
        <v>2.7442467069952681E-2</v>
      </c>
      <c r="S763" s="22">
        <v>3.6928152829644345E-2</v>
      </c>
      <c r="T763" s="19">
        <f t="shared" si="83"/>
        <v>4.2928020771046738E-2</v>
      </c>
      <c r="U763" s="24">
        <v>3.8911178520190992E-2</v>
      </c>
      <c r="V763" s="24">
        <f t="shared" si="84"/>
        <v>4.2926397130467198E-2</v>
      </c>
      <c r="W763" s="23">
        <f t="shared" si="85"/>
        <v>3.5086319231449892E-3</v>
      </c>
      <c r="X763" s="24">
        <v>3.8511514991941942E-2</v>
      </c>
      <c r="Y763" s="24">
        <f t="shared" si="86"/>
        <v>4.2926778084417583E-2</v>
      </c>
      <c r="Z763" s="23">
        <f t="shared" si="87"/>
        <v>3.5086617688675492E-3</v>
      </c>
      <c r="AA763" s="36"/>
    </row>
    <row r="764" spans="4:27" ht="13.9" customHeight="1">
      <c r="D764" s="8"/>
      <c r="E764" s="9"/>
      <c r="F764" s="19"/>
      <c r="G764" s="19"/>
      <c r="H764" s="19"/>
      <c r="J764" s="45"/>
      <c r="K764" s="45"/>
      <c r="L764" s="45"/>
      <c r="M764" s="43"/>
      <c r="O764" s="12">
        <f t="shared" si="81"/>
        <v>62.583333333333336</v>
      </c>
      <c r="P764" s="13">
        <v>751</v>
      </c>
      <c r="Q764" s="22">
        <v>2.723750227669286E-2</v>
      </c>
      <c r="R764" s="19">
        <f t="shared" si="82"/>
        <v>2.7449976674642551E-2</v>
      </c>
      <c r="S764" s="22">
        <v>3.6936119007260793E-2</v>
      </c>
      <c r="T764" s="19">
        <f t="shared" si="83"/>
        <v>4.2928792484564493E-2</v>
      </c>
      <c r="U764" s="24">
        <v>3.8916514724932183E-2</v>
      </c>
      <c r="V764" s="24">
        <f t="shared" si="84"/>
        <v>4.2927132981640748E-2</v>
      </c>
      <c r="W764" s="23">
        <f t="shared" si="85"/>
        <v>3.5086915225983617E-3</v>
      </c>
      <c r="X764" s="24">
        <v>3.8517381724622712E-2</v>
      </c>
      <c r="Y764" s="24">
        <f t="shared" si="86"/>
        <v>4.2927522458677148E-2</v>
      </c>
      <c r="Z764" s="23">
        <f t="shared" si="87"/>
        <v>3.508722068900294E-3</v>
      </c>
      <c r="AA764" s="36"/>
    </row>
    <row r="765" spans="4:27" ht="13.9" customHeight="1">
      <c r="D765" s="8"/>
      <c r="E765" s="9"/>
      <c r="F765" s="19"/>
      <c r="G765" s="19"/>
      <c r="H765" s="19"/>
      <c r="J765" s="45"/>
      <c r="K765" s="45"/>
      <c r="L765" s="45"/>
      <c r="M765" s="43"/>
      <c r="O765" s="12">
        <f t="shared" si="81"/>
        <v>62.666666666666664</v>
      </c>
      <c r="P765" s="13">
        <v>752</v>
      </c>
      <c r="Q765" s="22">
        <v>2.7237784793256781E-2</v>
      </c>
      <c r="R765" s="19">
        <f t="shared" si="82"/>
        <v>2.7457422938572229E-2</v>
      </c>
      <c r="S765" s="22">
        <v>3.6944065079516974E-2</v>
      </c>
      <c r="T765" s="19">
        <f t="shared" si="83"/>
        <v>4.2929555920577123E-2</v>
      </c>
      <c r="U765" s="24">
        <v>3.8921837739706699E-2</v>
      </c>
      <c r="V765" s="24">
        <f t="shared" si="84"/>
        <v>4.2927861471922402E-2</v>
      </c>
      <c r="W765" s="23">
        <f t="shared" si="85"/>
        <v>3.5087505258679652E-3</v>
      </c>
      <c r="X765" s="24">
        <v>3.8523233872980622E-2</v>
      </c>
      <c r="Y765" s="24">
        <f t="shared" si="86"/>
        <v>4.2928259261497015E-2</v>
      </c>
      <c r="Z765" s="23">
        <f t="shared" si="87"/>
        <v>3.5087817555623513E-3</v>
      </c>
      <c r="AA765" s="36"/>
    </row>
    <row r="766" spans="4:27" ht="13.9" customHeight="1">
      <c r="D766" s="8"/>
      <c r="E766" s="9"/>
      <c r="F766" s="19"/>
      <c r="G766" s="19"/>
      <c r="H766" s="19"/>
      <c r="J766" s="45"/>
      <c r="K766" s="45"/>
      <c r="L766" s="45"/>
      <c r="M766" s="43"/>
      <c r="O766" s="12">
        <f t="shared" si="81"/>
        <v>62.75</v>
      </c>
      <c r="P766" s="13">
        <v>753</v>
      </c>
      <c r="Q766" s="22">
        <v>2.7238076446243431E-2</v>
      </c>
      <c r="R766" s="19">
        <f t="shared" si="82"/>
        <v>2.7464806405027131E-2</v>
      </c>
      <c r="S766" s="22">
        <v>3.6951991115364846E-2</v>
      </c>
      <c r="T766" s="19">
        <f t="shared" si="83"/>
        <v>4.2930311167101776E-2</v>
      </c>
      <c r="U766" s="24">
        <v>3.8927147607231927E-2</v>
      </c>
      <c r="V766" s="24">
        <f t="shared" si="84"/>
        <v>4.2928582674992333E-2</v>
      </c>
      <c r="W766" s="23">
        <f t="shared" si="85"/>
        <v>3.5088089388766175E-3</v>
      </c>
      <c r="X766" s="24">
        <v>3.852907148499285E-2</v>
      </c>
      <c r="Y766" s="24">
        <f t="shared" si="86"/>
        <v>4.2928988570104742E-2</v>
      </c>
      <c r="Z766" s="23">
        <f t="shared" si="87"/>
        <v>3.5088408350800737E-3</v>
      </c>
      <c r="AA766" s="36"/>
    </row>
    <row r="767" spans="4:27" ht="13.9" customHeight="1">
      <c r="D767" s="8"/>
      <c r="E767" s="9"/>
      <c r="F767" s="19"/>
      <c r="G767" s="19"/>
      <c r="H767" s="19"/>
      <c r="J767" s="45"/>
      <c r="K767" s="45"/>
      <c r="L767" s="45"/>
      <c r="M767" s="43"/>
      <c r="O767" s="12">
        <f t="shared" si="81"/>
        <v>62.833333333333336</v>
      </c>
      <c r="P767" s="13">
        <v>754</v>
      </c>
      <c r="Q767" s="22">
        <v>2.7238377115970103E-2</v>
      </c>
      <c r="R767" s="19">
        <f t="shared" si="82"/>
        <v>2.7472127611059438E-2</v>
      </c>
      <c r="S767" s="22">
        <v>3.6959897183507451E-2</v>
      </c>
      <c r="T767" s="19">
        <f t="shared" si="83"/>
        <v>4.2931058313159687E-2</v>
      </c>
      <c r="U767" s="24">
        <v>3.8932444370096686E-2</v>
      </c>
      <c r="V767" s="24">
        <f t="shared" si="84"/>
        <v>4.2929296664575567E-2</v>
      </c>
      <c r="W767" s="23">
        <f t="shared" si="85"/>
        <v>3.5088667675331475E-3</v>
      </c>
      <c r="X767" s="24">
        <v>3.8534894608484027E-2</v>
      </c>
      <c r="Y767" s="24">
        <f t="shared" si="86"/>
        <v>4.2929710460820836E-2</v>
      </c>
      <c r="Z767" s="23">
        <f t="shared" si="87"/>
        <v>3.5088993136471736E-3</v>
      </c>
      <c r="AA767" s="36"/>
    </row>
    <row r="768" spans="4:27" ht="13.9" customHeight="1">
      <c r="D768" s="8"/>
      <c r="E768" s="9"/>
      <c r="F768" s="19"/>
      <c r="G768" s="19"/>
      <c r="H768" s="19"/>
      <c r="J768" s="45"/>
      <c r="K768" s="45"/>
      <c r="L768" s="45"/>
      <c r="M768" s="43"/>
      <c r="O768" s="12">
        <f t="shared" si="81"/>
        <v>62.916666666666664</v>
      </c>
      <c r="P768" s="13">
        <v>755</v>
      </c>
      <c r="Q768" s="22">
        <v>2.7238686684101454E-2</v>
      </c>
      <c r="R768" s="19">
        <f t="shared" si="82"/>
        <v>2.7479387091295049E-2</v>
      </c>
      <c r="S768" s="22">
        <v>3.6967783352401806E-2</v>
      </c>
      <c r="T768" s="19">
        <f t="shared" si="83"/>
        <v>4.2931797444670128E-2</v>
      </c>
      <c r="U768" s="24">
        <v>3.8937728070761235E-2</v>
      </c>
      <c r="V768" s="24">
        <f t="shared" si="84"/>
        <v>4.2930003511905124E-2</v>
      </c>
      <c r="W768" s="23">
        <f t="shared" si="85"/>
        <v>3.5089240177501591E-3</v>
      </c>
      <c r="X768" s="24">
        <v>3.854070329112691E-2</v>
      </c>
      <c r="Y768" s="24">
        <f t="shared" si="86"/>
        <v>4.2930425009240603E-2</v>
      </c>
      <c r="Z768" s="23">
        <f t="shared" si="87"/>
        <v>3.5089571973843103E-3</v>
      </c>
      <c r="AA768" s="36"/>
    </row>
    <row r="769" spans="4:27" ht="13.9" customHeight="1">
      <c r="D769" s="8"/>
      <c r="E769" s="9"/>
      <c r="F769" s="19"/>
      <c r="G769" s="19"/>
      <c r="H769" s="19"/>
      <c r="J769" s="45"/>
      <c r="K769" s="45"/>
      <c r="L769" s="45"/>
      <c r="M769" s="43"/>
      <c r="O769" s="12">
        <f t="shared" si="81"/>
        <v>63</v>
      </c>
      <c r="P769" s="13">
        <v>756</v>
      </c>
      <c r="Q769" s="22">
        <v>2.7239005033636632E-2</v>
      </c>
      <c r="R769" s="19">
        <f t="shared" si="82"/>
        <v>2.7486585372499039E-2</v>
      </c>
      <c r="S769" s="22">
        <v>3.6975649690256684E-2</v>
      </c>
      <c r="T769" s="19">
        <f t="shared" si="83"/>
        <v>4.2932528648495172E-2</v>
      </c>
      <c r="U769" s="24">
        <v>3.8942998751555713E-2</v>
      </c>
      <c r="V769" s="24">
        <f t="shared" si="84"/>
        <v>4.2930703289043137E-2</v>
      </c>
      <c r="W769" s="23">
        <f t="shared" si="85"/>
        <v>3.5089806952406377E-3</v>
      </c>
      <c r="X769" s="24">
        <v>3.8546497580441708E-2</v>
      </c>
      <c r="Y769" s="24">
        <f t="shared" si="86"/>
        <v>4.2931132289878216E-2</v>
      </c>
      <c r="Z769" s="23">
        <f t="shared" si="87"/>
        <v>3.5090144923539679E-3</v>
      </c>
      <c r="AA769" s="36"/>
    </row>
    <row r="770" spans="4:27" ht="13.9" customHeight="1">
      <c r="D770" s="8"/>
      <c r="E770" s="9"/>
      <c r="F770" s="19"/>
      <c r="G770" s="19"/>
      <c r="H770" s="19"/>
      <c r="J770" s="45"/>
      <c r="K770" s="45"/>
      <c r="L770" s="45"/>
      <c r="M770" s="43"/>
      <c r="O770" s="12">
        <f t="shared" si="81"/>
        <v>63.083333333333336</v>
      </c>
      <c r="P770" s="13">
        <v>757</v>
      </c>
      <c r="Q770" s="22">
        <v>2.7239332048891285E-2</v>
      </c>
      <c r="R770" s="19">
        <f t="shared" si="82"/>
        <v>2.7493722979953894E-2</v>
      </c>
      <c r="S770" s="22">
        <v>3.6983496265035276E-2</v>
      </c>
      <c r="T770" s="19">
        <f t="shared" si="83"/>
        <v>4.2933252009420331E-2</v>
      </c>
      <c r="U770" s="24">
        <v>3.8948256454681696E-2</v>
      </c>
      <c r="V770" s="24">
        <f t="shared" si="84"/>
        <v>4.2931396066894445E-2</v>
      </c>
      <c r="W770" s="23">
        <f t="shared" si="85"/>
        <v>3.5090368057837384E-3</v>
      </c>
      <c r="X770" s="24">
        <v>3.8552277523796086E-2</v>
      </c>
      <c r="Y770" s="24">
        <f t="shared" si="86"/>
        <v>4.2931832377203216E-2</v>
      </c>
      <c r="Z770" s="23">
        <f t="shared" si="87"/>
        <v>3.5090712045322547E-3</v>
      </c>
      <c r="AA770" s="36"/>
    </row>
    <row r="771" spans="4:27" ht="13.9" customHeight="1">
      <c r="D771" s="8"/>
      <c r="E771" s="9"/>
      <c r="F771" s="19"/>
      <c r="G771" s="19"/>
      <c r="H771" s="19"/>
      <c r="J771" s="45"/>
      <c r="K771" s="45"/>
      <c r="L771" s="45"/>
      <c r="M771" s="43"/>
      <c r="O771" s="12">
        <f t="shared" si="81"/>
        <v>63.166666666666664</v>
      </c>
      <c r="P771" s="13">
        <v>758</v>
      </c>
      <c r="Q771" s="22">
        <v>2.7239667615485574E-2</v>
      </c>
      <c r="R771" s="19">
        <f t="shared" si="82"/>
        <v>2.7500800431737638E-2</v>
      </c>
      <c r="S771" s="22">
        <v>3.6991323144454302E-2</v>
      </c>
      <c r="T771" s="19">
        <f t="shared" si="83"/>
        <v>4.2933967611080259E-2</v>
      </c>
      <c r="U771" s="24">
        <v>3.8953501222211306E-2</v>
      </c>
      <c r="V771" s="24">
        <f t="shared" si="84"/>
        <v>4.2932081915221687E-2</v>
      </c>
      <c r="W771" s="23">
        <f t="shared" si="85"/>
        <v>3.5090923550658015E-3</v>
      </c>
      <c r="X771" s="24">
        <v>3.8558043168405831E-2</v>
      </c>
      <c r="Y771" s="24">
        <f t="shared" si="86"/>
        <v>4.293252534397074E-2</v>
      </c>
      <c r="Z771" s="23">
        <f t="shared" si="87"/>
        <v>3.5091273398915046E-3</v>
      </c>
      <c r="AA771" s="36"/>
    </row>
    <row r="772" spans="4:27" ht="13.9" customHeight="1">
      <c r="D772" s="8"/>
      <c r="E772" s="9"/>
      <c r="F772" s="19"/>
      <c r="G772" s="19"/>
      <c r="H772" s="19"/>
      <c r="J772" s="45"/>
      <c r="K772" s="45"/>
      <c r="L772" s="45"/>
      <c r="M772" s="43"/>
      <c r="O772" s="12">
        <f t="shared" si="81"/>
        <v>63.25</v>
      </c>
      <c r="P772" s="13">
        <v>759</v>
      </c>
      <c r="Q772" s="22">
        <v>2.7240011620326854E-2</v>
      </c>
      <c r="R772" s="19">
        <f t="shared" si="82"/>
        <v>2.7507818243429849E-2</v>
      </c>
      <c r="S772" s="22">
        <v>3.6999130395984015E-2</v>
      </c>
      <c r="T772" s="19">
        <f t="shared" si="83"/>
        <v>4.2934675538063294E-2</v>
      </c>
      <c r="U772" s="24">
        <v>3.8958733096087217E-2</v>
      </c>
      <c r="V772" s="24">
        <f t="shared" si="84"/>
        <v>4.2932760903574119E-2</v>
      </c>
      <c r="W772" s="23">
        <f t="shared" si="85"/>
        <v>3.5091473486819069E-3</v>
      </c>
      <c r="X772" s="24">
        <v>3.8563794561333964E-2</v>
      </c>
      <c r="Y772" s="24">
        <f t="shared" si="86"/>
        <v>4.2933211262691451E-2</v>
      </c>
      <c r="Z772" s="23">
        <f t="shared" si="87"/>
        <v>3.5091829042663836E-3</v>
      </c>
      <c r="AA772" s="36"/>
    </row>
    <row r="773" spans="4:27" ht="13.9" customHeight="1">
      <c r="D773" s="8"/>
      <c r="E773" s="9"/>
      <c r="F773" s="19"/>
      <c r="G773" s="19"/>
      <c r="H773" s="19"/>
      <c r="J773" s="45"/>
      <c r="K773" s="45"/>
      <c r="L773" s="45"/>
      <c r="M773" s="43"/>
      <c r="O773" s="12">
        <f t="shared" si="81"/>
        <v>63.333333333333336</v>
      </c>
      <c r="P773" s="13">
        <v>760</v>
      </c>
      <c r="Q773" s="22">
        <v>2.7240363951597679E-2</v>
      </c>
      <c r="R773" s="19">
        <f t="shared" si="82"/>
        <v>2.7514776924391304E-2</v>
      </c>
      <c r="S773" s="22">
        <v>3.700691808685086E-2</v>
      </c>
      <c r="T773" s="19">
        <f t="shared" si="83"/>
        <v>4.293537587158891E-2</v>
      </c>
      <c r="U773" s="24">
        <v>3.8963952118122425E-2</v>
      </c>
      <c r="V773" s="24">
        <f t="shared" si="84"/>
        <v>4.293343310027109E-2</v>
      </c>
      <c r="W773" s="23">
        <f t="shared" si="85"/>
        <v>3.509201792209371E-3</v>
      </c>
      <c r="X773" s="24">
        <v>3.8569531749491182E-2</v>
      </c>
      <c r="Y773" s="24">
        <f t="shared" si="86"/>
        <v>4.2933890205522962E-2</v>
      </c>
      <c r="Z773" s="23">
        <f t="shared" si="87"/>
        <v>3.5092379034722399E-3</v>
      </c>
      <c r="AA773" s="36"/>
    </row>
    <row r="774" spans="4:27" ht="13.9" customHeight="1">
      <c r="D774" s="8"/>
      <c r="E774" s="9"/>
      <c r="F774" s="19"/>
      <c r="G774" s="19"/>
      <c r="H774" s="19"/>
      <c r="J774" s="45"/>
      <c r="K774" s="45"/>
      <c r="L774" s="45"/>
      <c r="M774" s="43"/>
      <c r="O774" s="12">
        <f t="shared" si="81"/>
        <v>63.416666666666664</v>
      </c>
      <c r="P774" s="13">
        <v>761</v>
      </c>
      <c r="Q774" s="22">
        <v>2.7240724498739155E-2</v>
      </c>
      <c r="R774" s="19">
        <f t="shared" si="82"/>
        <v>2.7521676980805321E-2</v>
      </c>
      <c r="S774" s="22">
        <v>3.7014686284035037E-2</v>
      </c>
      <c r="T774" s="19">
        <f t="shared" si="83"/>
        <v>4.2936068693811613E-2</v>
      </c>
      <c r="U774" s="24">
        <v>3.8969158330000253E-2</v>
      </c>
      <c r="V774" s="24">
        <f t="shared" si="84"/>
        <v>4.2934098574088253E-2</v>
      </c>
      <c r="W774" s="23">
        <f t="shared" si="85"/>
        <v>3.5092556911275885E-3</v>
      </c>
      <c r="X774" s="24">
        <v>3.8575254779636081E-2</v>
      </c>
      <c r="Y774" s="24">
        <f t="shared" si="86"/>
        <v>4.293456224293557E-2</v>
      </c>
      <c r="Z774" s="23">
        <f t="shared" si="87"/>
        <v>3.5092923432957779E-3</v>
      </c>
      <c r="AA774" s="36"/>
    </row>
    <row r="775" spans="4:27" ht="13.9" customHeight="1">
      <c r="D775" s="8"/>
      <c r="E775" s="9"/>
      <c r="F775" s="19"/>
      <c r="G775" s="19"/>
      <c r="H775" s="19"/>
      <c r="J775" s="45"/>
      <c r="K775" s="45"/>
      <c r="L775" s="45"/>
      <c r="M775" s="43"/>
      <c r="O775" s="12">
        <f t="shared" si="81"/>
        <v>63.5</v>
      </c>
      <c r="P775" s="13">
        <v>762</v>
      </c>
      <c r="Q775" s="22">
        <v>2.72410931524385E-2</v>
      </c>
      <c r="R775" s="19">
        <f t="shared" si="82"/>
        <v>2.7528518913340738E-2</v>
      </c>
      <c r="S775" s="22">
        <v>3.7022435054273162E-2</v>
      </c>
      <c r="T775" s="19">
        <f t="shared" si="83"/>
        <v>4.2936754085048712E-2</v>
      </c>
      <c r="U775" s="24">
        <v>3.897435177327524E-2</v>
      </c>
      <c r="V775" s="24">
        <f t="shared" si="84"/>
        <v>4.2934757391671186E-2</v>
      </c>
      <c r="W775" s="23">
        <f t="shared" si="85"/>
        <v>3.5093090509521474E-3</v>
      </c>
      <c r="X775" s="24">
        <v>3.8580963698374937E-2</v>
      </c>
      <c r="Y775" s="24">
        <f t="shared" si="86"/>
        <v>4.2935227445743962E-2</v>
      </c>
      <c r="Z775" s="23">
        <f t="shared" si="87"/>
        <v>3.509346229388699E-3</v>
      </c>
      <c r="AA775" s="36"/>
    </row>
    <row r="776" spans="4:27" ht="13.9" customHeight="1">
      <c r="D776" s="8"/>
      <c r="E776" s="9"/>
      <c r="F776" s="19"/>
      <c r="G776" s="19"/>
      <c r="H776" s="19"/>
      <c r="J776" s="45"/>
      <c r="K776" s="45"/>
      <c r="L776" s="45"/>
      <c r="M776" s="43"/>
      <c r="O776" s="12">
        <f t="shared" si="81"/>
        <v>63.583333333333336</v>
      </c>
      <c r="P776" s="13">
        <v>763</v>
      </c>
      <c r="Q776" s="22">
        <v>2.7241469804613727E-2</v>
      </c>
      <c r="R776" s="19">
        <f t="shared" si="82"/>
        <v>2.7535303218759299E-2</v>
      </c>
      <c r="S776" s="22">
        <v>3.703016446405738E-2</v>
      </c>
      <c r="T776" s="19">
        <f t="shared" si="83"/>
        <v>4.2937432125226049E-2</v>
      </c>
      <c r="U776" s="24">
        <v>3.897953248937136E-2</v>
      </c>
      <c r="V776" s="24">
        <f t="shared" si="84"/>
        <v>4.2935409619893727E-2</v>
      </c>
      <c r="W776" s="23">
        <f t="shared" si="85"/>
        <v>3.5093618770276613E-3</v>
      </c>
      <c r="X776" s="24">
        <v>3.8586658552161923E-2</v>
      </c>
      <c r="Y776" s="24">
        <f t="shared" si="86"/>
        <v>4.2935885883389924E-2</v>
      </c>
      <c r="Z776" s="23">
        <f t="shared" si="87"/>
        <v>3.509399567430016E-3</v>
      </c>
      <c r="AA776" s="36"/>
    </row>
    <row r="777" spans="4:27" ht="13.9" customHeight="1">
      <c r="D777" s="8"/>
      <c r="E777" s="9"/>
      <c r="F777" s="19"/>
      <c r="G777" s="19"/>
      <c r="H777" s="19"/>
      <c r="J777" s="45"/>
      <c r="K777" s="45"/>
      <c r="L777" s="45"/>
      <c r="M777" s="43"/>
      <c r="O777" s="12">
        <f t="shared" si="81"/>
        <v>63.666666666666664</v>
      </c>
      <c r="P777" s="13">
        <v>764</v>
      </c>
      <c r="Q777" s="22">
        <v>2.7241854348400318E-2</v>
      </c>
      <c r="R777" s="19">
        <f t="shared" si="82"/>
        <v>2.7542030390033334E-2</v>
      </c>
      <c r="S777" s="22">
        <v>3.7037874579636698E-2</v>
      </c>
      <c r="T777" s="19">
        <f t="shared" si="83"/>
        <v>4.2938102893350649E-2</v>
      </c>
      <c r="U777" s="24">
        <v>3.898470051958336E-2</v>
      </c>
      <c r="V777" s="24">
        <f t="shared" si="84"/>
        <v>4.29360553248328E-2</v>
      </c>
      <c r="W777" s="23">
        <f t="shared" si="85"/>
        <v>3.5094141747173957E-3</v>
      </c>
      <c r="X777" s="24">
        <v>3.8592339387299113E-2</v>
      </c>
      <c r="Y777" s="24">
        <f t="shared" si="86"/>
        <v>4.293653762453542E-2</v>
      </c>
      <c r="Z777" s="23">
        <f t="shared" si="87"/>
        <v>3.5094523629886076E-3</v>
      </c>
      <c r="AA777" s="36"/>
    </row>
    <row r="778" spans="4:27" ht="13.9" customHeight="1">
      <c r="D778" s="8"/>
      <c r="E778" s="9"/>
      <c r="F778" s="19"/>
      <c r="G778" s="19"/>
      <c r="H778" s="19"/>
      <c r="J778" s="45"/>
      <c r="K778" s="45"/>
      <c r="L778" s="45"/>
      <c r="M778" s="43"/>
      <c r="O778" s="12">
        <f t="shared" si="81"/>
        <v>63.75</v>
      </c>
      <c r="P778" s="13">
        <v>765</v>
      </c>
      <c r="Q778" s="22">
        <v>2.7242246678138127E-2</v>
      </c>
      <c r="R778" s="19">
        <f t="shared" si="82"/>
        <v>2.7548700914812319E-2</v>
      </c>
      <c r="S778" s="22">
        <v>3.7045565467016983E-2</v>
      </c>
      <c r="T778" s="19">
        <f t="shared" si="83"/>
        <v>4.2938766467169209E-2</v>
      </c>
      <c r="U778" s="24">
        <v>3.8989855905076309E-2</v>
      </c>
      <c r="V778" s="24">
        <f t="shared" si="84"/>
        <v>4.293669457135274E-2</v>
      </c>
      <c r="W778" s="23">
        <f t="shared" si="85"/>
        <v>3.509465949320445E-3</v>
      </c>
      <c r="X778" s="24">
        <v>3.8598006249936256E-2</v>
      </c>
      <c r="Y778" s="24">
        <f t="shared" si="86"/>
        <v>4.2937182737307289E-2</v>
      </c>
      <c r="Z778" s="23">
        <f t="shared" si="87"/>
        <v>3.50950462157118E-3</v>
      </c>
      <c r="AA778" s="36"/>
    </row>
    <row r="779" spans="4:27" ht="13.9" customHeight="1">
      <c r="D779" s="8"/>
      <c r="E779" s="9"/>
      <c r="F779" s="19"/>
      <c r="G779" s="19"/>
      <c r="H779" s="19"/>
      <c r="J779" s="45"/>
      <c r="K779" s="45"/>
      <c r="L779" s="45"/>
      <c r="M779" s="43"/>
      <c r="O779" s="12">
        <f t="shared" si="81"/>
        <v>63.833333333333336</v>
      </c>
      <c r="P779" s="13">
        <v>766</v>
      </c>
      <c r="Q779" s="22">
        <v>2.7242646689356942E-2</v>
      </c>
      <c r="R779" s="19">
        <f t="shared" si="82"/>
        <v>2.755531527675914E-2</v>
      </c>
      <c r="S779" s="22">
        <v>3.7053237191961408E-2</v>
      </c>
      <c r="T779" s="19">
        <f t="shared" si="83"/>
        <v>4.2939422924039405E-2</v>
      </c>
      <c r="U779" s="24">
        <v>3.8994998686885163E-2</v>
      </c>
      <c r="V779" s="24">
        <f t="shared" si="84"/>
        <v>4.2937327424658278E-2</v>
      </c>
      <c r="W779" s="23">
        <f t="shared" si="85"/>
        <v>3.5095172060386481E-3</v>
      </c>
      <c r="X779" s="24">
        <v>3.8603659186071226E-2</v>
      </c>
      <c r="Y779" s="24">
        <f t="shared" si="86"/>
        <v>4.2937821289384059E-2</v>
      </c>
      <c r="Z779" s="23">
        <f t="shared" si="87"/>
        <v>3.5095563486409187E-3</v>
      </c>
      <c r="AA779" s="36"/>
    </row>
    <row r="780" spans="4:27" ht="13.9" customHeight="1">
      <c r="D780" s="8"/>
      <c r="E780" s="9"/>
      <c r="F780" s="19"/>
      <c r="G780" s="19"/>
      <c r="H780" s="19"/>
      <c r="J780" s="45"/>
      <c r="K780" s="45"/>
      <c r="L780" s="45"/>
      <c r="M780" s="43"/>
      <c r="O780" s="12">
        <f t="shared" si="81"/>
        <v>63.916666666666664</v>
      </c>
      <c r="P780" s="13">
        <v>767</v>
      </c>
      <c r="Q780" s="22">
        <v>2.7243054278763168E-2</v>
      </c>
      <c r="R780" s="19">
        <f t="shared" si="82"/>
        <v>2.7561873955752825E-2</v>
      </c>
      <c r="S780" s="22">
        <v>3.7060889819991116E-2</v>
      </c>
      <c r="T780" s="19">
        <f t="shared" si="83"/>
        <v>4.2940072340722502E-2</v>
      </c>
      <c r="U780" s="24">
        <v>3.9000128905915643E-2</v>
      </c>
      <c r="V780" s="24">
        <f t="shared" si="84"/>
        <v>4.2937953948317675E-2</v>
      </c>
      <c r="W780" s="23">
        <f t="shared" si="85"/>
        <v>3.5095679501011556E-3</v>
      </c>
      <c r="X780" s="24">
        <v>3.8609298241550016E-2</v>
      </c>
      <c r="Y780" s="24">
        <f t="shared" si="86"/>
        <v>4.2938453347825423E-2</v>
      </c>
      <c r="Z780" s="23">
        <f t="shared" si="87"/>
        <v>3.509607549625926E-3</v>
      </c>
      <c r="AA780" s="36"/>
    </row>
    <row r="781" spans="4:27" ht="13.9" customHeight="1">
      <c r="D781" s="8"/>
      <c r="E781" s="9"/>
      <c r="F781" s="19"/>
      <c r="G781" s="19"/>
      <c r="H781" s="19"/>
      <c r="J781" s="45"/>
      <c r="K781" s="45"/>
      <c r="L781" s="45"/>
      <c r="M781" s="43"/>
      <c r="O781" s="12">
        <f t="shared" si="81"/>
        <v>64</v>
      </c>
      <c r="P781" s="13">
        <v>768</v>
      </c>
      <c r="Q781" s="22">
        <v>2.7243469344227389E-2</v>
      </c>
      <c r="R781" s="19">
        <f t="shared" si="82"/>
        <v>2.7568377426945512E-2</v>
      </c>
      <c r="S781" s="22">
        <v>3.7068523416386334E-2</v>
      </c>
      <c r="T781" s="19">
        <f t="shared" si="83"/>
        <v>4.294071479227668E-2</v>
      </c>
      <c r="U781" s="24">
        <v>3.9005246602943355E-2</v>
      </c>
      <c r="V781" s="24">
        <f t="shared" si="84"/>
        <v>4.2938574206023761E-2</v>
      </c>
      <c r="W781" s="23">
        <f t="shared" si="85"/>
        <v>3.5096181866061116E-3</v>
      </c>
      <c r="X781" s="24">
        <v>3.8614923462067186E-2</v>
      </c>
      <c r="Y781" s="24">
        <f t="shared" si="86"/>
        <v>4.2939078977803025E-2</v>
      </c>
      <c r="Z781" s="23">
        <f t="shared" si="87"/>
        <v>3.5096582299036783E-3</v>
      </c>
      <c r="AA781" s="36"/>
    </row>
    <row r="782" spans="4:27" ht="13.9" customHeight="1">
      <c r="D782" s="8"/>
      <c r="E782" s="9"/>
      <c r="F782" s="19"/>
      <c r="G782" s="19"/>
      <c r="H782" s="19"/>
      <c r="J782" s="45"/>
      <c r="K782" s="45"/>
      <c r="L782" s="45"/>
      <c r="M782" s="43"/>
      <c r="O782" s="12">
        <f t="shared" ref="O782:O845" si="88">P782/12</f>
        <v>64.083333333333329</v>
      </c>
      <c r="P782" s="13">
        <v>769</v>
      </c>
      <c r="Q782" s="22">
        <v>2.724389178477038E-2</v>
      </c>
      <c r="R782" s="19">
        <f t="shared" ref="R782:R845" si="89">(1+Q783)^P783/(1+Q782)^P782-1</f>
        <v>2.7574826161599564E-2</v>
      </c>
      <c r="S782" s="22">
        <v>3.7076138046185481E-2</v>
      </c>
      <c r="T782" s="19">
        <f t="shared" ref="T782:T845" si="90">(1+S783)^P783/(1+S782)^P782-1</f>
        <v>4.2941350353419505E-2</v>
      </c>
      <c r="U782" s="24">
        <v>3.9010351818614453E-2</v>
      </c>
      <c r="V782" s="24">
        <f t="shared" ref="V782:V845" si="91">(1+U783)^P783/(1+U782)^P782-1</f>
        <v>4.2939188260363137E-2</v>
      </c>
      <c r="W782" s="23">
        <f t="shared" si="85"/>
        <v>3.509667920661208E-3</v>
      </c>
      <c r="X782" s="24">
        <v>3.8620534893164749E-2</v>
      </c>
      <c r="Y782" s="24">
        <f t="shared" si="86"/>
        <v>4.2939698245931357E-2</v>
      </c>
      <c r="Z782" s="23">
        <f t="shared" si="87"/>
        <v>3.5097083947008834E-3</v>
      </c>
      <c r="AA782" s="36"/>
    </row>
    <row r="783" spans="4:27" ht="13.9" customHeight="1">
      <c r="D783" s="8"/>
      <c r="E783" s="9"/>
      <c r="F783" s="19"/>
      <c r="G783" s="19"/>
      <c r="H783" s="19"/>
      <c r="J783" s="45"/>
      <c r="K783" s="45"/>
      <c r="L783" s="45"/>
      <c r="M783" s="43"/>
      <c r="O783" s="12">
        <f t="shared" si="88"/>
        <v>64.166666666666671</v>
      </c>
      <c r="P783" s="13">
        <v>770</v>
      </c>
      <c r="Q783" s="22">
        <v>2.7244321500550894E-2</v>
      </c>
      <c r="R783" s="19">
        <f t="shared" si="89"/>
        <v>2.7581220626668346E-2</v>
      </c>
      <c r="S783" s="22">
        <v>3.7083733774186278E-2</v>
      </c>
      <c r="T783" s="19">
        <f t="shared" si="90"/>
        <v>4.2941979098800154E-2</v>
      </c>
      <c r="U783" s="24">
        <v>3.9015444593445414E-2</v>
      </c>
      <c r="V783" s="24">
        <f t="shared" si="91"/>
        <v>4.2939796173567135E-2</v>
      </c>
      <c r="W783" s="23">
        <f t="shared" ref="W783:W846" si="92">(1+V782)^(1/12)-1</f>
        <v>3.5097171572857633E-3</v>
      </c>
      <c r="X783" s="24">
        <v>3.8626132580234174E-2</v>
      </c>
      <c r="Y783" s="24">
        <f t="shared" ref="Y783:Y846" si="93">(1+X784)^P784/(1+X783)^P783-1</f>
        <v>4.2940311216224325E-2</v>
      </c>
      <c r="Z783" s="23">
        <f t="shared" ref="Z783:Z846" si="94">(1+Y782)^(1/12)-1</f>
        <v>3.5097580493597125E-3</v>
      </c>
      <c r="AA783" s="36"/>
    </row>
    <row r="784" spans="4:27" ht="13.9" customHeight="1">
      <c r="D784" s="8"/>
      <c r="E784" s="9"/>
      <c r="F784" s="19"/>
      <c r="G784" s="19"/>
      <c r="H784" s="19"/>
      <c r="J784" s="45"/>
      <c r="K784" s="45"/>
      <c r="L784" s="45"/>
      <c r="M784" s="43"/>
      <c r="O784" s="12">
        <f t="shared" si="88"/>
        <v>64.25</v>
      </c>
      <c r="P784" s="13">
        <v>771</v>
      </c>
      <c r="Q784" s="22">
        <v>2.7244758392852342E-2</v>
      </c>
      <c r="R784" s="19">
        <f t="shared" si="89"/>
        <v>2.758756128496076E-2</v>
      </c>
      <c r="S784" s="22">
        <v>3.709131066494753E-2</v>
      </c>
      <c r="T784" s="19">
        <f t="shared" si="90"/>
        <v>4.2942601101001898E-2</v>
      </c>
      <c r="U784" s="24">
        <v>3.9020524967823045E-2</v>
      </c>
      <c r="V784" s="24">
        <f t="shared" si="91"/>
        <v>4.2940398006699132E-2</v>
      </c>
      <c r="W784" s="23">
        <f t="shared" si="92"/>
        <v>3.5097659014704519E-3</v>
      </c>
      <c r="X784" s="24">
        <v>3.8631716568514829E-2</v>
      </c>
      <c r="Y784" s="24">
        <f t="shared" si="93"/>
        <v>4.2940917952688507E-2</v>
      </c>
      <c r="Z784" s="23">
        <f t="shared" si="94"/>
        <v>3.5098071990138369E-3</v>
      </c>
      <c r="AA784" s="36"/>
    </row>
    <row r="785" spans="4:27" ht="13.9" customHeight="1">
      <c r="D785" s="8"/>
      <c r="E785" s="9"/>
      <c r="F785" s="19"/>
      <c r="G785" s="19"/>
      <c r="H785" s="19"/>
      <c r="J785" s="45"/>
      <c r="K785" s="45"/>
      <c r="L785" s="45"/>
      <c r="M785" s="43"/>
      <c r="O785" s="12">
        <f t="shared" si="88"/>
        <v>64.333333333333329</v>
      </c>
      <c r="P785" s="13">
        <v>772</v>
      </c>
      <c r="Q785" s="22">
        <v>2.7245202364070353E-2</v>
      </c>
      <c r="R785" s="19">
        <f t="shared" si="89"/>
        <v>2.7593848595946824E-2</v>
      </c>
      <c r="S785" s="22">
        <v>3.7098868782787786E-2</v>
      </c>
      <c r="T785" s="19">
        <f t="shared" si="90"/>
        <v>4.2943216432307363E-2</v>
      </c>
      <c r="U785" s="24">
        <v>3.9025592982004254E-2</v>
      </c>
      <c r="V785" s="24">
        <f t="shared" si="91"/>
        <v>4.2940993820845152E-2</v>
      </c>
      <c r="W785" s="23">
        <f t="shared" si="92"/>
        <v>3.5098141581120235E-3</v>
      </c>
      <c r="X785" s="24">
        <v>3.8637286903094648E-2</v>
      </c>
      <c r="Y785" s="24">
        <f t="shared" si="93"/>
        <v>4.2941518519104882E-2</v>
      </c>
      <c r="Z785" s="23">
        <f t="shared" si="94"/>
        <v>3.5098558487962617E-3</v>
      </c>
      <c r="AA785" s="36"/>
    </row>
    <row r="786" spans="4:27" ht="13.9" customHeight="1">
      <c r="D786" s="8"/>
      <c r="E786" s="9"/>
      <c r="F786" s="19"/>
      <c r="G786" s="19"/>
      <c r="H786" s="19"/>
      <c r="J786" s="45"/>
      <c r="K786" s="45"/>
      <c r="L786" s="45"/>
      <c r="M786" s="43"/>
      <c r="O786" s="12">
        <f t="shared" si="88"/>
        <v>64.416666666666671</v>
      </c>
      <c r="P786" s="13">
        <v>773</v>
      </c>
      <c r="Q786" s="22">
        <v>2.7245653317701235E-2</v>
      </c>
      <c r="R786" s="19">
        <f t="shared" si="89"/>
        <v>2.7600083013586074E-2</v>
      </c>
      <c r="S786" s="22">
        <v>3.7106408191786455E-2</v>
      </c>
      <c r="T786" s="19">
        <f t="shared" si="90"/>
        <v>4.2943825164797556E-2</v>
      </c>
      <c r="U786" s="24">
        <v>3.9030648676116497E-2</v>
      </c>
      <c r="V786" s="24">
        <f t="shared" si="91"/>
        <v>4.2941583676604278E-2</v>
      </c>
      <c r="W786" s="23">
        <f t="shared" si="92"/>
        <v>3.5098619321098923E-3</v>
      </c>
      <c r="X786" s="24">
        <v>3.8642843628910573E-2</v>
      </c>
      <c r="Y786" s="24">
        <f t="shared" si="93"/>
        <v>4.2942112978582303E-2</v>
      </c>
      <c r="Z786" s="23">
        <f t="shared" si="94"/>
        <v>3.5099040038217844E-3</v>
      </c>
      <c r="AA786" s="36"/>
    </row>
    <row r="787" spans="4:27" ht="13.9" customHeight="1">
      <c r="D787" s="8"/>
      <c r="E787" s="9"/>
      <c r="F787" s="19"/>
      <c r="G787" s="19"/>
      <c r="H787" s="19"/>
      <c r="J787" s="45"/>
      <c r="K787" s="45"/>
      <c r="L787" s="45"/>
      <c r="M787" s="43"/>
      <c r="O787" s="12">
        <f t="shared" si="88"/>
        <v>64.5</v>
      </c>
      <c r="P787" s="13">
        <v>774</v>
      </c>
      <c r="Q787" s="22">
        <v>2.7246111158327313E-2</v>
      </c>
      <c r="R787" s="19">
        <f t="shared" si="89"/>
        <v>2.7606264989546325E-2</v>
      </c>
      <c r="S787" s="22">
        <v>3.7113928955785136E-2</v>
      </c>
      <c r="T787" s="19">
        <f t="shared" si="90"/>
        <v>4.2944427368845073E-2</v>
      </c>
      <c r="U787" s="24">
        <v>3.9035692090158003E-2</v>
      </c>
      <c r="V787" s="24">
        <f t="shared" si="91"/>
        <v>4.2942167633046813E-2</v>
      </c>
      <c r="W787" s="23">
        <f t="shared" si="92"/>
        <v>3.5099092283232824E-3</v>
      </c>
      <c r="X787" s="24">
        <v>3.8648386790749001E-2</v>
      </c>
      <c r="Y787" s="24">
        <f t="shared" si="93"/>
        <v>4.294270139235068E-2</v>
      </c>
      <c r="Z787" s="23">
        <f t="shared" si="94"/>
        <v>3.5099516691516897E-3</v>
      </c>
      <c r="AA787" s="36"/>
    </row>
    <row r="788" spans="4:27" ht="13.9" customHeight="1">
      <c r="D788" s="8"/>
      <c r="E788" s="9"/>
      <c r="F788" s="19"/>
      <c r="G788" s="19"/>
      <c r="H788" s="19"/>
      <c r="J788" s="45"/>
      <c r="K788" s="45"/>
      <c r="L788" s="45"/>
      <c r="M788" s="43"/>
      <c r="O788" s="12">
        <f t="shared" si="88"/>
        <v>64.583333333333329</v>
      </c>
      <c r="P788" s="13">
        <v>775</v>
      </c>
      <c r="Q788" s="22">
        <v>2.7246575791607608E-2</v>
      </c>
      <c r="R788" s="19">
        <f t="shared" si="89"/>
        <v>2.7612394970715437E-2</v>
      </c>
      <c r="S788" s="22">
        <v>3.7121431138387173E-2</v>
      </c>
      <c r="T788" s="19">
        <f t="shared" si="90"/>
        <v>4.2945023114582037E-2</v>
      </c>
      <c r="U788" s="24">
        <v>3.9040723263997101E-2</v>
      </c>
      <c r="V788" s="24">
        <f t="shared" si="91"/>
        <v>4.2942745749851241E-2</v>
      </c>
      <c r="W788" s="23">
        <f t="shared" si="92"/>
        <v>3.5099560514895156E-3</v>
      </c>
      <c r="X788" s="24">
        <v>3.8653916433244451E-2</v>
      </c>
      <c r="Y788" s="24">
        <f t="shared" si="93"/>
        <v>4.2943283822937994E-2</v>
      </c>
      <c r="Z788" s="23">
        <f t="shared" si="94"/>
        <v>3.5099988496960499E-3</v>
      </c>
      <c r="AA788" s="36"/>
    </row>
    <row r="789" spans="4:27" ht="13.9" customHeight="1">
      <c r="D789" s="8"/>
      <c r="E789" s="9"/>
      <c r="F789" s="19"/>
      <c r="G789" s="19"/>
      <c r="H789" s="19"/>
      <c r="J789" s="45"/>
      <c r="K789" s="45"/>
      <c r="L789" s="45"/>
      <c r="M789" s="43"/>
      <c r="O789" s="12">
        <f t="shared" si="88"/>
        <v>64.666666666666671</v>
      </c>
      <c r="P789" s="13">
        <v>776</v>
      </c>
      <c r="Q789" s="22">
        <v>2.7247047124264068E-2</v>
      </c>
      <c r="R789" s="19">
        <f t="shared" si="89"/>
        <v>2.7618473399493748E-2</v>
      </c>
      <c r="S789" s="22">
        <v>3.7128914802958768E-2</v>
      </c>
      <c r="T789" s="19">
        <f t="shared" si="90"/>
        <v>4.2945612471728234E-2</v>
      </c>
      <c r="U789" s="24">
        <v>3.9045742237373338E-2</v>
      </c>
      <c r="V789" s="24">
        <f t="shared" si="91"/>
        <v>4.2943318084708526E-2</v>
      </c>
      <c r="W789" s="23">
        <f t="shared" si="92"/>
        <v>3.5100024063945412E-3</v>
      </c>
      <c r="X789" s="24">
        <v>3.865943260088156E-2</v>
      </c>
      <c r="Y789" s="24">
        <f t="shared" si="93"/>
        <v>4.294386033050368E-2</v>
      </c>
      <c r="Z789" s="23">
        <f t="shared" si="94"/>
        <v>3.5100455504692984E-3</v>
      </c>
      <c r="AA789" s="36"/>
    </row>
    <row r="790" spans="4:27" ht="13.9" customHeight="1">
      <c r="D790" s="8"/>
      <c r="E790" s="9"/>
      <c r="F790" s="19"/>
      <c r="G790" s="19"/>
      <c r="H790" s="19"/>
      <c r="J790" s="45"/>
      <c r="K790" s="45"/>
      <c r="L790" s="45"/>
      <c r="M790" s="43"/>
      <c r="O790" s="12">
        <f t="shared" si="88"/>
        <v>64.75</v>
      </c>
      <c r="P790" s="13">
        <v>777</v>
      </c>
      <c r="Q790" s="22">
        <v>2.7247525064069356E-2</v>
      </c>
      <c r="R790" s="19">
        <f t="shared" si="89"/>
        <v>2.7624500716005862E-2</v>
      </c>
      <c r="S790" s="22">
        <v>3.7136380012629422E-2</v>
      </c>
      <c r="T790" s="19">
        <f t="shared" si="90"/>
        <v>4.2946195508444251E-2</v>
      </c>
      <c r="U790" s="24">
        <v>3.9050749049895916E-2</v>
      </c>
      <c r="V790" s="24">
        <f t="shared" si="91"/>
        <v>4.2943884696070356E-2</v>
      </c>
      <c r="W790" s="23">
        <f t="shared" si="92"/>
        <v>3.5100482976648806E-3</v>
      </c>
      <c r="X790" s="24">
        <v>3.8664935337993755E-2</v>
      </c>
      <c r="Y790" s="24">
        <f t="shared" si="93"/>
        <v>4.2944430975593084E-2</v>
      </c>
      <c r="Z790" s="23">
        <f t="shared" si="94"/>
        <v>3.5100917762960204E-3</v>
      </c>
      <c r="AA790" s="36"/>
    </row>
    <row r="791" spans="4:27" ht="13.9" customHeight="1">
      <c r="D791" s="8"/>
      <c r="E791" s="9"/>
      <c r="F791" s="19"/>
      <c r="G791" s="19"/>
      <c r="H791" s="19"/>
      <c r="J791" s="45"/>
      <c r="K791" s="45"/>
      <c r="L791" s="45"/>
      <c r="M791" s="43"/>
      <c r="O791" s="12">
        <f t="shared" si="88"/>
        <v>64.833333333333329</v>
      </c>
      <c r="P791" s="13">
        <v>778</v>
      </c>
      <c r="Q791" s="22">
        <v>2.7248009519836858E-2</v>
      </c>
      <c r="R791" s="19">
        <f t="shared" si="89"/>
        <v>2.7630477354796623E-2</v>
      </c>
      <c r="S791" s="22">
        <v>3.7143826830292381E-2</v>
      </c>
      <c r="T791" s="19">
        <f t="shared" si="90"/>
        <v>4.2946772292579816E-2</v>
      </c>
      <c r="U791" s="24">
        <v>3.9055743741045701E-2</v>
      </c>
      <c r="V791" s="24">
        <f t="shared" si="91"/>
        <v>4.2944445641284856E-2</v>
      </c>
      <c r="W791" s="23">
        <f t="shared" si="92"/>
        <v>3.5100937299878954E-3</v>
      </c>
      <c r="X791" s="24">
        <v>3.867042468876436E-2</v>
      </c>
      <c r="Y791" s="24">
        <f t="shared" si="93"/>
        <v>4.2944995818026799E-2</v>
      </c>
      <c r="Z791" s="23">
        <f t="shared" si="94"/>
        <v>3.5101375320316652E-3</v>
      </c>
      <c r="AA791" s="36"/>
    </row>
    <row r="792" spans="4:27" ht="13.9" customHeight="1">
      <c r="D792" s="8"/>
      <c r="E792" s="9"/>
      <c r="F792" s="19"/>
      <c r="G792" s="19"/>
      <c r="H792" s="19"/>
      <c r="J792" s="45"/>
      <c r="K792" s="45"/>
      <c r="L792" s="45"/>
      <c r="M792" s="43"/>
      <c r="O792" s="12">
        <f t="shared" si="88"/>
        <v>64.916666666666671</v>
      </c>
      <c r="P792" s="13">
        <v>779</v>
      </c>
      <c r="Q792" s="22">
        <v>2.7248500401407139E-2</v>
      </c>
      <c r="R792" s="19">
        <f t="shared" si="89"/>
        <v>2.7636403748172667E-2</v>
      </c>
      <c r="S792" s="22">
        <v>3.7151255318605303E-2</v>
      </c>
      <c r="T792" s="19">
        <f t="shared" si="90"/>
        <v>4.2947342891598961E-2</v>
      </c>
      <c r="U792" s="24">
        <v>3.9060726350174324E-2</v>
      </c>
      <c r="V792" s="24">
        <f t="shared" si="91"/>
        <v>4.2945000976369885E-2</v>
      </c>
      <c r="W792" s="23">
        <f t="shared" si="92"/>
        <v>3.5101387079627955E-3</v>
      </c>
      <c r="X792" s="24">
        <v>3.8675900697226595E-2</v>
      </c>
      <c r="Y792" s="24">
        <f t="shared" si="93"/>
        <v>4.294555491668528E-2</v>
      </c>
      <c r="Z792" s="23">
        <f t="shared" si="94"/>
        <v>3.5101828224735065E-3</v>
      </c>
      <c r="AA792" s="36"/>
    </row>
    <row r="793" spans="4:27" ht="13.9" customHeight="1">
      <c r="D793" s="8"/>
      <c r="E793" s="9"/>
      <c r="F793" s="19"/>
      <c r="G793" s="19"/>
      <c r="H793" s="19"/>
      <c r="J793" s="45"/>
      <c r="K793" s="45"/>
      <c r="L793" s="45"/>
      <c r="M793" s="43"/>
      <c r="O793" s="12">
        <f t="shared" si="88"/>
        <v>65</v>
      </c>
      <c r="P793" s="13">
        <v>780</v>
      </c>
      <c r="Q793" s="22">
        <v>2.7248997619638171E-2</v>
      </c>
      <c r="R793" s="19">
        <f t="shared" si="89"/>
        <v>2.7642280322848656E-2</v>
      </c>
      <c r="S793" s="22">
        <v>3.7158665539991143E-2</v>
      </c>
      <c r="T793" s="19">
        <f t="shared" si="90"/>
        <v>4.294790737127796E-2</v>
      </c>
      <c r="U793" s="24">
        <v>3.9065696916503523E-2</v>
      </c>
      <c r="V793" s="24">
        <f t="shared" si="91"/>
        <v>4.2945550758214601E-2</v>
      </c>
      <c r="W793" s="23">
        <f t="shared" si="92"/>
        <v>3.5101832360817653E-3</v>
      </c>
      <c r="X793" s="24">
        <v>3.8681363407263358E-2</v>
      </c>
      <c r="Y793" s="24">
        <f t="shared" si="93"/>
        <v>4.2946108329923405E-2</v>
      </c>
      <c r="Z793" s="23">
        <f t="shared" si="94"/>
        <v>3.5102276523431009E-3</v>
      </c>
      <c r="AA793" s="36"/>
    </row>
    <row r="794" spans="4:27" ht="13.9" customHeight="1">
      <c r="D794" s="8"/>
      <c r="E794" s="9"/>
      <c r="F794" s="19"/>
      <c r="G794" s="19"/>
      <c r="H794" s="19"/>
      <c r="J794" s="45"/>
      <c r="K794" s="45"/>
      <c r="L794" s="45"/>
      <c r="M794" s="43"/>
      <c r="O794" s="12">
        <f t="shared" si="88"/>
        <v>65.083333333333329</v>
      </c>
      <c r="P794" s="13">
        <v>781</v>
      </c>
      <c r="Q794" s="22">
        <v>2.7249501086391792E-2</v>
      </c>
      <c r="R794" s="19">
        <f t="shared" si="89"/>
        <v>2.7648107503901675E-2</v>
      </c>
      <c r="S794" s="22">
        <v>3.716605755663771E-2</v>
      </c>
      <c r="T794" s="19">
        <f t="shared" si="90"/>
        <v>4.2948465797909341E-2</v>
      </c>
      <c r="U794" s="24">
        <v>3.9070655479127137E-2</v>
      </c>
      <c r="V794" s="24">
        <f t="shared" si="91"/>
        <v>4.2946095041835441E-2</v>
      </c>
      <c r="W794" s="23">
        <f t="shared" si="92"/>
        <v>3.5102273189071553E-3</v>
      </c>
      <c r="X794" s="24">
        <v>3.8686812862607889E-2</v>
      </c>
      <c r="Y794" s="24">
        <f t="shared" si="93"/>
        <v>4.2946656115909976E-2</v>
      </c>
      <c r="Z794" s="23">
        <f t="shared" si="94"/>
        <v>3.5102720263204823E-3</v>
      </c>
      <c r="AA794" s="36"/>
    </row>
    <row r="795" spans="4:27" ht="13.9" customHeight="1">
      <c r="D795" s="8"/>
      <c r="E795" s="9"/>
      <c r="F795" s="19"/>
      <c r="G795" s="19"/>
      <c r="H795" s="19"/>
      <c r="J795" s="45"/>
      <c r="K795" s="45"/>
      <c r="L795" s="45"/>
      <c r="M795" s="43"/>
      <c r="O795" s="12">
        <f t="shared" si="88"/>
        <v>65.166666666666671</v>
      </c>
      <c r="P795" s="13">
        <v>782</v>
      </c>
      <c r="Q795" s="22">
        <v>2.7250010714525041E-2</v>
      </c>
      <c r="R795" s="19">
        <f t="shared" si="89"/>
        <v>2.765388571153693E-2</v>
      </c>
      <c r="S795" s="22">
        <v>3.717343143049967E-2</v>
      </c>
      <c r="T795" s="19">
        <f t="shared" si="90"/>
        <v>4.2949018235750591E-2</v>
      </c>
      <c r="U795" s="24">
        <v>3.9075602077009108E-2</v>
      </c>
      <c r="V795" s="24">
        <f t="shared" si="91"/>
        <v>4.2946633883009566E-2</v>
      </c>
      <c r="W795" s="23">
        <f t="shared" si="92"/>
        <v>3.5102709608505478E-3</v>
      </c>
      <c r="X795" s="24">
        <v>3.8692249106843768E-2</v>
      </c>
      <c r="Y795" s="24">
        <f t="shared" si="93"/>
        <v>4.2947198331562353E-2</v>
      </c>
      <c r="Z795" s="23">
        <f t="shared" si="94"/>
        <v>3.5103159490703639E-3</v>
      </c>
      <c r="AA795" s="36"/>
    </row>
    <row r="796" spans="4:27" ht="13.9" customHeight="1">
      <c r="D796" s="8"/>
      <c r="E796" s="9"/>
      <c r="F796" s="19"/>
      <c r="G796" s="19"/>
      <c r="H796" s="19"/>
      <c r="J796" s="45"/>
      <c r="K796" s="45"/>
      <c r="L796" s="45"/>
      <c r="M796" s="43"/>
      <c r="O796" s="12">
        <f t="shared" si="88"/>
        <v>65.25</v>
      </c>
      <c r="P796" s="13">
        <v>783</v>
      </c>
      <c r="Q796" s="22">
        <v>2.725052641787773E-2</v>
      </c>
      <c r="R796" s="19">
        <f t="shared" si="89"/>
        <v>2.7659615361728562E-2</v>
      </c>
      <c r="S796" s="22">
        <v>3.7180787223297873E-2</v>
      </c>
      <c r="T796" s="19">
        <f t="shared" si="90"/>
        <v>4.2949564749876545E-2</v>
      </c>
      <c r="U796" s="24">
        <v>3.9080536748985928E-2</v>
      </c>
      <c r="V796" s="24">
        <f t="shared" si="91"/>
        <v>4.2947167335318115E-2</v>
      </c>
      <c r="W796" s="23">
        <f t="shared" si="92"/>
        <v>3.5103141663852533E-3</v>
      </c>
      <c r="X796" s="24">
        <v>3.8697672183404919E-2</v>
      </c>
      <c r="Y796" s="24">
        <f t="shared" si="93"/>
        <v>4.294773503366045E-2</v>
      </c>
      <c r="Z796" s="23">
        <f t="shared" si="94"/>
        <v>3.5103594251570946E-3</v>
      </c>
      <c r="AA796" s="36"/>
    </row>
    <row r="797" spans="4:27" ht="13.9" customHeight="1">
      <c r="D797" s="8"/>
      <c r="E797" s="9"/>
      <c r="F797" s="19"/>
      <c r="G797" s="19"/>
      <c r="H797" s="19"/>
      <c r="J797" s="45"/>
      <c r="K797" s="45"/>
      <c r="L797" s="45"/>
      <c r="M797" s="43"/>
      <c r="O797" s="12">
        <f t="shared" si="88"/>
        <v>65.333333333333329</v>
      </c>
      <c r="P797" s="13">
        <v>784</v>
      </c>
      <c r="Q797" s="22">
        <v>2.7251048111260667E-2</v>
      </c>
      <c r="R797" s="19">
        <f t="shared" si="89"/>
        <v>2.7665296868339517E-2</v>
      </c>
      <c r="S797" s="22">
        <v>3.7188124996521132E-2</v>
      </c>
      <c r="T797" s="19">
        <f t="shared" si="90"/>
        <v>4.2950105403356087E-2</v>
      </c>
      <c r="U797" s="24">
        <v>3.9085459533763967E-2</v>
      </c>
      <c r="V797" s="24">
        <f t="shared" si="91"/>
        <v>4.2947695453078083E-2</v>
      </c>
      <c r="W797" s="23">
        <f t="shared" si="92"/>
        <v>3.510356939808057E-3</v>
      </c>
      <c r="X797" s="24">
        <v>3.8703082135576272E-2</v>
      </c>
      <c r="Y797" s="24">
        <f t="shared" si="93"/>
        <v>4.2948266278693525E-2</v>
      </c>
      <c r="Z797" s="23">
        <f t="shared" si="94"/>
        <v>3.5104024591339211E-3</v>
      </c>
      <c r="AA797" s="36"/>
    </row>
    <row r="798" spans="4:27" ht="13.9" customHeight="1">
      <c r="D798" s="8"/>
      <c r="E798" s="9"/>
      <c r="F798" s="19"/>
      <c r="G798" s="19"/>
      <c r="H798" s="19"/>
      <c r="J798" s="45"/>
      <c r="K798" s="45"/>
      <c r="L798" s="45"/>
      <c r="M798" s="43"/>
      <c r="O798" s="12">
        <f t="shared" si="88"/>
        <v>65.416666666666671</v>
      </c>
      <c r="P798" s="13">
        <v>785</v>
      </c>
      <c r="Q798" s="22">
        <v>2.7251575710446563E-2</v>
      </c>
      <c r="R798" s="19">
        <f t="shared" si="89"/>
        <v>2.7670930640314007E-2</v>
      </c>
      <c r="S798" s="22">
        <v>3.7195444811425782E-2</v>
      </c>
      <c r="T798" s="19">
        <f t="shared" si="90"/>
        <v>4.2950640259044048E-2</v>
      </c>
      <c r="U798" s="24">
        <v>3.9090370469922142E-2</v>
      </c>
      <c r="V798" s="24">
        <f t="shared" si="91"/>
        <v>4.2948218290294715E-2</v>
      </c>
      <c r="W798" s="23">
        <f t="shared" si="92"/>
        <v>3.5103992854748078E-3</v>
      </c>
      <c r="X798" s="24">
        <v>3.8708479006493768E-2</v>
      </c>
      <c r="Y798" s="24">
        <f t="shared" si="93"/>
        <v>4.2948792121612067E-2</v>
      </c>
      <c r="Z798" s="23">
        <f t="shared" si="94"/>
        <v>3.5104450555312194E-3</v>
      </c>
      <c r="AA798" s="36"/>
    </row>
    <row r="799" spans="4:27" ht="13.9" customHeight="1">
      <c r="D799" s="8"/>
      <c r="E799" s="9"/>
      <c r="F799" s="19"/>
      <c r="G799" s="19"/>
      <c r="H799" s="19"/>
      <c r="J799" s="45"/>
      <c r="K799" s="45"/>
      <c r="L799" s="45"/>
      <c r="M799" s="43"/>
      <c r="O799" s="12">
        <f t="shared" si="88"/>
        <v>65.5</v>
      </c>
      <c r="P799" s="13">
        <v>786</v>
      </c>
      <c r="Q799" s="22">
        <v>2.7252109132158253E-2</v>
      </c>
      <c r="R799" s="19">
        <f t="shared" si="89"/>
        <v>2.7676517083746077E-2</v>
      </c>
      <c r="S799" s="22">
        <v>3.7202746729036784E-2</v>
      </c>
      <c r="T799" s="19">
        <f t="shared" si="90"/>
        <v>4.2951169379626286E-2</v>
      </c>
      <c r="U799" s="24">
        <v>3.9095269595911031E-2</v>
      </c>
      <c r="V799" s="24">
        <f t="shared" si="91"/>
        <v>4.2948735898465706E-2</v>
      </c>
      <c r="W799" s="23">
        <f t="shared" si="92"/>
        <v>3.5104412077164859E-3</v>
      </c>
      <c r="X799" s="24">
        <v>3.8713862839144353E-2</v>
      </c>
      <c r="Y799" s="24">
        <f t="shared" si="93"/>
        <v>4.2949312617900137E-2</v>
      </c>
      <c r="Z799" s="23">
        <f t="shared" si="94"/>
        <v>3.5104872187554648E-3</v>
      </c>
      <c r="AA799" s="36"/>
    </row>
    <row r="800" spans="4:27" ht="13.9" customHeight="1">
      <c r="D800" s="8"/>
      <c r="E800" s="9"/>
      <c r="F800" s="19"/>
      <c r="G800" s="19"/>
      <c r="H800" s="19"/>
      <c r="J800" s="45"/>
      <c r="K800" s="45"/>
      <c r="L800" s="45"/>
      <c r="M800" s="43"/>
      <c r="O800" s="12">
        <f t="shared" si="88"/>
        <v>65.583333333333329</v>
      </c>
      <c r="P800" s="13">
        <v>787</v>
      </c>
      <c r="Q800" s="22">
        <v>2.7252648294058268E-2</v>
      </c>
      <c r="R800" s="19">
        <f t="shared" si="89"/>
        <v>2.768205660119194E-2</v>
      </c>
      <c r="S800" s="22">
        <v>3.721003081014862E-2</v>
      </c>
      <c r="T800" s="19">
        <f t="shared" si="90"/>
        <v>4.2951692825812682E-2</v>
      </c>
      <c r="U800" s="24">
        <v>3.9100156950051979E-2</v>
      </c>
      <c r="V800" s="24">
        <f t="shared" si="91"/>
        <v>4.2949248331042522E-2</v>
      </c>
      <c r="W800" s="23">
        <f t="shared" si="92"/>
        <v>3.5104827106626768E-3</v>
      </c>
      <c r="X800" s="24">
        <v>3.8719233676366649E-2</v>
      </c>
      <c r="Y800" s="24">
        <f t="shared" si="93"/>
        <v>4.2949827821376685E-2</v>
      </c>
      <c r="Z800" s="23">
        <f t="shared" si="94"/>
        <v>3.5105289532559869E-3</v>
      </c>
      <c r="AA800" s="36"/>
    </row>
    <row r="801" spans="4:27" ht="13.9" customHeight="1">
      <c r="D801" s="8"/>
      <c r="E801" s="9"/>
      <c r="F801" s="19"/>
      <c r="G801" s="19"/>
      <c r="H801" s="19"/>
      <c r="J801" s="45"/>
      <c r="K801" s="45"/>
      <c r="L801" s="45"/>
      <c r="M801" s="43"/>
      <c r="O801" s="12">
        <f t="shared" si="88"/>
        <v>65.666666666666671</v>
      </c>
      <c r="P801" s="13">
        <v>788</v>
      </c>
      <c r="Q801" s="22">
        <v>2.7253193114738616E-2</v>
      </c>
      <c r="R801" s="19">
        <f t="shared" si="89"/>
        <v>2.7687549590962979E-2</v>
      </c>
      <c r="S801" s="22">
        <v>3.7217297115324843E-2</v>
      </c>
      <c r="T801" s="19">
        <f t="shared" si="90"/>
        <v>4.2952210659397139E-2</v>
      </c>
      <c r="U801" s="24">
        <v>3.9105032570539322E-2</v>
      </c>
      <c r="V801" s="24">
        <f t="shared" si="91"/>
        <v>4.2949755639495102E-2</v>
      </c>
      <c r="W801" s="23">
        <f t="shared" si="92"/>
        <v>3.5105237985999516E-3</v>
      </c>
      <c r="X801" s="24">
        <v>3.8724591560850508E-2</v>
      </c>
      <c r="Y801" s="24">
        <f t="shared" si="93"/>
        <v>4.2950337786566761E-2</v>
      </c>
      <c r="Z801" s="23">
        <f t="shared" si="94"/>
        <v>3.5105702633488889E-3</v>
      </c>
      <c r="AA801" s="36"/>
    </row>
    <row r="802" spans="4:27" ht="13.9" customHeight="1">
      <c r="D802" s="8"/>
      <c r="E802" s="9"/>
      <c r="F802" s="19"/>
      <c r="G802" s="19"/>
      <c r="H802" s="19"/>
      <c r="J802" s="45"/>
      <c r="K802" s="45"/>
      <c r="L802" s="45"/>
      <c r="M802" s="43"/>
      <c r="O802" s="12">
        <f t="shared" si="88"/>
        <v>65.75</v>
      </c>
      <c r="P802" s="13">
        <v>789</v>
      </c>
      <c r="Q802" s="22">
        <v>2.7253743513709905E-2</v>
      </c>
      <c r="R802" s="19">
        <f t="shared" si="89"/>
        <v>2.7692996449264928E-2</v>
      </c>
      <c r="S802" s="22">
        <v>3.7224545704900303E-2</v>
      </c>
      <c r="T802" s="19">
        <f t="shared" si="90"/>
        <v>4.2952722940032828E-2</v>
      </c>
      <c r="U802" s="24">
        <v>3.9109896495438834E-2</v>
      </c>
      <c r="V802" s="24">
        <f t="shared" si="91"/>
        <v>4.2950257874866393E-2</v>
      </c>
      <c r="W802" s="23">
        <f t="shared" si="92"/>
        <v>3.5105644756558974E-3</v>
      </c>
      <c r="X802" s="24">
        <v>3.8729936535138343E-2</v>
      </c>
      <c r="Y802" s="24">
        <f t="shared" si="93"/>
        <v>4.2950842566291447E-2</v>
      </c>
      <c r="Z802" s="23">
        <f t="shared" si="94"/>
        <v>3.5106111534066731E-3</v>
      </c>
      <c r="AA802" s="36"/>
    </row>
    <row r="803" spans="4:27" ht="13.9" customHeight="1">
      <c r="D803" s="8"/>
      <c r="E803" s="9"/>
      <c r="F803" s="19"/>
      <c r="G803" s="19"/>
      <c r="H803" s="19"/>
      <c r="J803" s="45"/>
      <c r="K803" s="45"/>
      <c r="L803" s="45"/>
      <c r="M803" s="43"/>
      <c r="O803" s="12">
        <f t="shared" si="88"/>
        <v>65.833333333333329</v>
      </c>
      <c r="P803" s="13">
        <v>790</v>
      </c>
      <c r="Q803" s="22">
        <v>2.7254299411392235E-2</v>
      </c>
      <c r="R803" s="19">
        <f t="shared" si="89"/>
        <v>2.7698397567074817E-2</v>
      </c>
      <c r="S803" s="22">
        <v>3.7231776638980252E-2</v>
      </c>
      <c r="T803" s="19">
        <f t="shared" si="90"/>
        <v>4.2953229727487052E-2</v>
      </c>
      <c r="U803" s="24">
        <v>3.9114748762688833E-2</v>
      </c>
      <c r="V803" s="24">
        <f t="shared" si="91"/>
        <v>4.2950755088422055E-2</v>
      </c>
      <c r="W803" s="23">
        <f t="shared" si="92"/>
        <v>3.5106047459234624E-3</v>
      </c>
      <c r="X803" s="24">
        <v>3.8735268641624243E-2</v>
      </c>
      <c r="Y803" s="24">
        <f t="shared" si="93"/>
        <v>4.2951342213480181E-2</v>
      </c>
      <c r="Z803" s="23">
        <f t="shared" si="94"/>
        <v>3.5106516276650623E-3</v>
      </c>
      <c r="AA803" s="36"/>
    </row>
    <row r="804" spans="4:27" ht="13.9" customHeight="1">
      <c r="D804" s="8"/>
      <c r="E804" s="9"/>
      <c r="F804" s="19"/>
      <c r="G804" s="19"/>
      <c r="H804" s="19"/>
      <c r="J804" s="45"/>
      <c r="K804" s="45"/>
      <c r="L804" s="45"/>
      <c r="M804" s="43"/>
      <c r="O804" s="12">
        <f t="shared" si="88"/>
        <v>65.916666666666671</v>
      </c>
      <c r="P804" s="13">
        <v>791</v>
      </c>
      <c r="Q804" s="22">
        <v>2.7254860729103214E-2</v>
      </c>
      <c r="R804" s="19">
        <f t="shared" si="89"/>
        <v>2.7703753333968573E-2</v>
      </c>
      <c r="S804" s="22">
        <v>3.7238989977441905E-2</v>
      </c>
      <c r="T804" s="19">
        <f t="shared" si="90"/>
        <v>4.2953731080620727E-2</v>
      </c>
      <c r="U804" s="24">
        <v>3.9119589410099964E-2</v>
      </c>
      <c r="V804" s="24">
        <f t="shared" si="91"/>
        <v>4.2951247329730657E-2</v>
      </c>
      <c r="W804" s="23">
        <f t="shared" si="92"/>
        <v>3.5106446135140246E-3</v>
      </c>
      <c r="X804" s="24">
        <v>3.8740587922554859E-2</v>
      </c>
      <c r="Y804" s="24">
        <f t="shared" si="93"/>
        <v>4.2951836780416031E-2</v>
      </c>
      <c r="Z804" s="23">
        <f t="shared" si="94"/>
        <v>3.5106916903686614E-3</v>
      </c>
      <c r="AA804" s="36"/>
    </row>
    <row r="805" spans="4:27" ht="13.9" customHeight="1">
      <c r="D805" s="8"/>
      <c r="E805" s="9"/>
      <c r="F805" s="19"/>
      <c r="G805" s="19"/>
      <c r="H805" s="19"/>
      <c r="J805" s="45"/>
      <c r="K805" s="45"/>
      <c r="L805" s="45"/>
      <c r="M805" s="43"/>
      <c r="O805" s="12">
        <f t="shared" si="88"/>
        <v>66</v>
      </c>
      <c r="P805" s="13">
        <v>792</v>
      </c>
      <c r="Q805" s="22">
        <v>2.725542738905018E-2</v>
      </c>
      <c r="R805" s="19">
        <f t="shared" si="89"/>
        <v>2.7709064134363581E-2</v>
      </c>
      <c r="S805" s="22">
        <v>3.724618577993466E-2</v>
      </c>
      <c r="T805" s="19">
        <f t="shared" si="90"/>
        <v>4.295422705786911E-2</v>
      </c>
      <c r="U805" s="24">
        <v>3.9124418475354972E-2</v>
      </c>
      <c r="V805" s="24">
        <f t="shared" si="91"/>
        <v>4.2951734649235407E-2</v>
      </c>
      <c r="W805" s="23">
        <f t="shared" si="92"/>
        <v>3.5106840824026264E-3</v>
      </c>
      <c r="X805" s="24">
        <v>3.8745894420029403E-2</v>
      </c>
      <c r="Y805" s="24">
        <f t="shared" si="93"/>
        <v>4.2952326318631329E-2</v>
      </c>
      <c r="Z805" s="23">
        <f t="shared" si="94"/>
        <v>3.5107313457103384E-3</v>
      </c>
      <c r="AA805" s="36"/>
    </row>
    <row r="806" spans="4:27" ht="13.9" customHeight="1">
      <c r="D806" s="8"/>
      <c r="E806" s="9"/>
      <c r="F806" s="19"/>
      <c r="G806" s="19"/>
      <c r="H806" s="19"/>
      <c r="J806" s="45"/>
      <c r="K806" s="45"/>
      <c r="L806" s="45"/>
      <c r="M806" s="43"/>
      <c r="O806" s="12">
        <f t="shared" si="88"/>
        <v>66.083333333333329</v>
      </c>
      <c r="P806" s="13">
        <v>793</v>
      </c>
      <c r="Q806" s="22">
        <v>2.7255999314318657E-2</v>
      </c>
      <c r="R806" s="19">
        <f t="shared" si="89"/>
        <v>2.7714330350445682E-2</v>
      </c>
      <c r="S806" s="22">
        <v>3.7253364105880982E-2</v>
      </c>
      <c r="T806" s="19">
        <f t="shared" si="90"/>
        <v>4.2954717716929158E-2</v>
      </c>
      <c r="U806" s="24">
        <v>3.9129235996010037E-2</v>
      </c>
      <c r="V806" s="24">
        <f t="shared" si="91"/>
        <v>4.2952217095788559E-2</v>
      </c>
      <c r="W806" s="23">
        <f t="shared" si="92"/>
        <v>3.5107231566344765E-3</v>
      </c>
      <c r="X806" s="24">
        <v>3.8751188176000095E-2</v>
      </c>
      <c r="Y806" s="24">
        <f t="shared" si="93"/>
        <v>4.2952810879328007E-2</v>
      </c>
      <c r="Z806" s="23">
        <f t="shared" si="94"/>
        <v>3.5107705978221215E-3</v>
      </c>
      <c r="AA806" s="36"/>
    </row>
    <row r="807" spans="4:27" ht="13.9" customHeight="1">
      <c r="D807" s="8"/>
      <c r="E807" s="9"/>
      <c r="F807" s="19"/>
      <c r="G807" s="19"/>
      <c r="H807" s="19"/>
      <c r="J807" s="45"/>
      <c r="K807" s="45"/>
      <c r="L807" s="45"/>
      <c r="M807" s="43"/>
      <c r="O807" s="12">
        <f t="shared" si="88"/>
        <v>66.166666666666671</v>
      </c>
      <c r="P807" s="13">
        <v>794</v>
      </c>
      <c r="Q807" s="22">
        <v>2.7256576428863255E-2</v>
      </c>
      <c r="R807" s="19">
        <f t="shared" si="89"/>
        <v>2.7719552360724764E-2</v>
      </c>
      <c r="S807" s="22">
        <v>3.7260525014477075E-2</v>
      </c>
      <c r="T807" s="19">
        <f t="shared" si="90"/>
        <v>4.2955203114551921E-2</v>
      </c>
      <c r="U807" s="24">
        <v>3.9134042009493664E-2</v>
      </c>
      <c r="V807" s="24">
        <f t="shared" si="91"/>
        <v>4.295269471825347E-2</v>
      </c>
      <c r="W807" s="23">
        <f t="shared" si="92"/>
        <v>3.5107618401268859E-3</v>
      </c>
      <c r="X807" s="24">
        <v>3.8756469232272162E-2</v>
      </c>
      <c r="Y807" s="24">
        <f t="shared" si="93"/>
        <v>4.2953290513440434E-2</v>
      </c>
      <c r="Z807" s="23">
        <f t="shared" si="94"/>
        <v>3.5108094508105037E-3</v>
      </c>
      <c r="AA807" s="36"/>
    </row>
    <row r="808" spans="4:27" ht="13.9" customHeight="1">
      <c r="D808" s="8"/>
      <c r="E808" s="9"/>
      <c r="F808" s="19"/>
      <c r="G808" s="19"/>
      <c r="H808" s="19"/>
      <c r="J808" s="45"/>
      <c r="K808" s="45"/>
      <c r="L808" s="45"/>
      <c r="M808" s="43"/>
      <c r="O808" s="12">
        <f t="shared" si="88"/>
        <v>66.25</v>
      </c>
      <c r="P808" s="13">
        <v>795</v>
      </c>
      <c r="Q808" s="22">
        <v>2.7257158657498115E-2</v>
      </c>
      <c r="R808" s="19">
        <f t="shared" si="89"/>
        <v>2.7724730539963494E-2</v>
      </c>
      <c r="S808" s="22">
        <v>3.726766856469288E-2</v>
      </c>
      <c r="T808" s="19">
        <f t="shared" si="90"/>
        <v>4.2955683307536852E-2</v>
      </c>
      <c r="U808" s="24">
        <v>3.9138836553107792E-2</v>
      </c>
      <c r="V808" s="24">
        <f t="shared" si="91"/>
        <v>4.2953167564743433E-2</v>
      </c>
      <c r="W808" s="23">
        <f t="shared" si="92"/>
        <v>3.5108001367984976E-3</v>
      </c>
      <c r="X808" s="24">
        <v>3.8761737630504722E-2</v>
      </c>
      <c r="Y808" s="24">
        <f t="shared" si="93"/>
        <v>4.2953765270585809E-2</v>
      </c>
      <c r="Z808" s="23">
        <f t="shared" si="94"/>
        <v>3.5108479087597733E-3</v>
      </c>
      <c r="AA808" s="36"/>
    </row>
    <row r="809" spans="4:27" ht="13.9" customHeight="1">
      <c r="D809" s="8"/>
      <c r="E809" s="9"/>
      <c r="F809" s="19"/>
      <c r="G809" s="19"/>
      <c r="H809" s="19"/>
      <c r="J809" s="45"/>
      <c r="K809" s="45"/>
      <c r="L809" s="45"/>
      <c r="M809" s="43"/>
      <c r="O809" s="12">
        <f t="shared" si="88"/>
        <v>66.333333333333329</v>
      </c>
      <c r="P809" s="13">
        <v>796</v>
      </c>
      <c r="Q809" s="22">
        <v>2.7257745925886478E-2</v>
      </c>
      <c r="R809" s="19">
        <f t="shared" si="89"/>
        <v>2.7729865261119757E-2</v>
      </c>
      <c r="S809" s="22">
        <v>3.7274794815273848E-2</v>
      </c>
      <c r="T809" s="19">
        <f t="shared" si="90"/>
        <v>4.2956158351734608E-2</v>
      </c>
      <c r="U809" s="24">
        <v>3.9143619664027129E-2</v>
      </c>
      <c r="V809" s="24">
        <f t="shared" si="91"/>
        <v>4.2953635683350422E-2</v>
      </c>
      <c r="W809" s="23">
        <f t="shared" si="92"/>
        <v>3.5108380505075587E-3</v>
      </c>
      <c r="X809" s="24">
        <v>3.8766993412210127E-2</v>
      </c>
      <c r="Y809" s="24">
        <f t="shared" si="93"/>
        <v>4.2954235200846291E-2</v>
      </c>
      <c r="Z809" s="23">
        <f t="shared" si="94"/>
        <v>3.5108859756487476E-3</v>
      </c>
      <c r="AA809" s="36"/>
    </row>
    <row r="810" spans="4:27" ht="13.9" customHeight="1">
      <c r="D810" s="8"/>
      <c r="E810" s="9"/>
      <c r="F810" s="19"/>
      <c r="G810" s="19"/>
      <c r="H810" s="19"/>
      <c r="J810" s="45"/>
      <c r="K810" s="45"/>
      <c r="L810" s="45"/>
      <c r="M810" s="43"/>
      <c r="O810" s="12">
        <f t="shared" si="88"/>
        <v>66.416666666666671</v>
      </c>
      <c r="P810" s="13">
        <v>797</v>
      </c>
      <c r="Q810" s="22">
        <v>2.7258338160533135E-2</v>
      </c>
      <c r="R810" s="19">
        <f t="shared" si="89"/>
        <v>2.7734956892348839E-2</v>
      </c>
      <c r="S810" s="22">
        <v>3.7281903824740725E-2</v>
      </c>
      <c r="T810" s="19">
        <f t="shared" si="90"/>
        <v>4.2956628302069033E-2</v>
      </c>
      <c r="U810" s="24">
        <v>3.9148391379300262E-2</v>
      </c>
      <c r="V810" s="24">
        <f t="shared" si="91"/>
        <v>4.2954099120940947E-2</v>
      </c>
      <c r="W810" s="23">
        <f t="shared" si="92"/>
        <v>3.510875585110762E-3</v>
      </c>
      <c r="X810" s="24">
        <v>3.8772236618755063E-2</v>
      </c>
      <c r="Y810" s="24">
        <f t="shared" si="93"/>
        <v>4.2954700353094788E-2</v>
      </c>
      <c r="Z810" s="23">
        <f t="shared" si="94"/>
        <v>3.5109236554937695E-3</v>
      </c>
      <c r="AA810" s="36"/>
    </row>
    <row r="811" spans="4:27" ht="13.9" customHeight="1">
      <c r="D811" s="8"/>
      <c r="E811" s="9"/>
      <c r="F811" s="19"/>
      <c r="G811" s="19"/>
      <c r="H811" s="19"/>
      <c r="J811" s="45"/>
      <c r="K811" s="45"/>
      <c r="L811" s="45"/>
      <c r="M811" s="43"/>
      <c r="O811" s="12">
        <f t="shared" si="88"/>
        <v>66.5</v>
      </c>
      <c r="P811" s="13">
        <v>798</v>
      </c>
      <c r="Q811" s="22">
        <v>2.7258935288773323E-2</v>
      </c>
      <c r="R811" s="19">
        <f t="shared" si="89"/>
        <v>2.7740005798762235E-2</v>
      </c>
      <c r="S811" s="22">
        <v>3.7288995651390211E-2</v>
      </c>
      <c r="T811" s="19">
        <f t="shared" si="90"/>
        <v>4.2957093213428887E-2</v>
      </c>
      <c r="U811" s="24">
        <v>3.9153151735849212E-2</v>
      </c>
      <c r="V811" s="24">
        <f t="shared" si="91"/>
        <v>4.2954557925121151E-2</v>
      </c>
      <c r="W811" s="23">
        <f t="shared" si="92"/>
        <v>3.5109127443662125E-3</v>
      </c>
      <c r="X811" s="24">
        <v>3.8777467291360335E-2</v>
      </c>
      <c r="Y811" s="24">
        <f t="shared" si="93"/>
        <v>4.2955160775985046E-2</v>
      </c>
      <c r="Z811" s="23">
        <f t="shared" si="94"/>
        <v>3.5109609522139262E-3</v>
      </c>
      <c r="AA811" s="36"/>
    </row>
    <row r="812" spans="4:27" ht="13.9" customHeight="1">
      <c r="D812" s="8"/>
      <c r="E812" s="9"/>
      <c r="F812" s="19"/>
      <c r="G812" s="19"/>
      <c r="H812" s="19"/>
      <c r="J812" s="45"/>
      <c r="K812" s="45"/>
      <c r="L812" s="45"/>
      <c r="M812" s="43"/>
      <c r="O812" s="12">
        <f t="shared" si="88"/>
        <v>66.583333333333329</v>
      </c>
      <c r="P812" s="13">
        <v>799</v>
      </c>
      <c r="Q812" s="22">
        <v>2.725953723876362E-2</v>
      </c>
      <c r="R812" s="19">
        <f t="shared" si="89"/>
        <v>2.7745012343536324E-2</v>
      </c>
      <c r="S812" s="22">
        <v>3.7296070353296296E-2</v>
      </c>
      <c r="T812" s="19">
        <f t="shared" si="90"/>
        <v>4.2957553139786553E-2</v>
      </c>
      <c r="U812" s="24">
        <v>3.91579007704701E-2</v>
      </c>
      <c r="V812" s="24">
        <f t="shared" si="91"/>
        <v>4.2955012141289606E-2</v>
      </c>
      <c r="W812" s="23">
        <f t="shared" si="92"/>
        <v>3.510949532091745E-3</v>
      </c>
      <c r="X812" s="24">
        <v>3.878268547110153E-2</v>
      </c>
      <c r="Y812" s="24">
        <f t="shared" si="93"/>
        <v>4.2955616517610373E-2</v>
      </c>
      <c r="Z812" s="23">
        <f t="shared" si="94"/>
        <v>3.5109978697109856E-3</v>
      </c>
      <c r="AA812" s="36"/>
    </row>
    <row r="813" spans="4:27" ht="13.9" customHeight="1">
      <c r="D813" s="8"/>
      <c r="E813" s="9"/>
      <c r="F813" s="19"/>
      <c r="G813" s="19"/>
      <c r="H813" s="19"/>
      <c r="J813" s="45"/>
      <c r="K813" s="45"/>
      <c r="L813" s="45"/>
      <c r="M813" s="43"/>
      <c r="O813" s="12">
        <f t="shared" si="88"/>
        <v>66.666666666666671</v>
      </c>
      <c r="P813" s="13">
        <v>800</v>
      </c>
      <c r="Q813" s="22">
        <v>2.7260143939473958E-2</v>
      </c>
      <c r="R813" s="19">
        <f t="shared" si="89"/>
        <v>2.7749976885777627E-2</v>
      </c>
      <c r="S813" s="22">
        <v>3.7303127988310036E-2</v>
      </c>
      <c r="T813" s="19">
        <f t="shared" si="90"/>
        <v>4.2958008134841075E-2</v>
      </c>
      <c r="U813" s="24">
        <v>3.9162638519832704E-2</v>
      </c>
      <c r="V813" s="24">
        <f t="shared" si="91"/>
        <v>4.2955461816200913E-2</v>
      </c>
      <c r="W813" s="23">
        <f t="shared" si="92"/>
        <v>3.5109859519277808E-3</v>
      </c>
      <c r="X813" s="24">
        <v>3.8787891198908575E-2</v>
      </c>
      <c r="Y813" s="24">
        <f t="shared" si="93"/>
        <v>4.2956067625500971E-2</v>
      </c>
      <c r="Z813" s="23">
        <f t="shared" si="94"/>
        <v>3.5110344118411962E-3</v>
      </c>
      <c r="AA813" s="36"/>
    </row>
    <row r="814" spans="4:27" ht="13.9" customHeight="1">
      <c r="D814" s="8"/>
      <c r="E814" s="9"/>
      <c r="F814" s="19"/>
      <c r="G814" s="19"/>
      <c r="H814" s="19"/>
      <c r="J814" s="45"/>
      <c r="K814" s="45"/>
      <c r="L814" s="45"/>
      <c r="M814" s="43"/>
      <c r="O814" s="12">
        <f t="shared" si="88"/>
        <v>66.75</v>
      </c>
      <c r="P814" s="13">
        <v>801</v>
      </c>
      <c r="Q814" s="22">
        <v>2.7260755320678065E-2</v>
      </c>
      <c r="R814" s="19">
        <f t="shared" si="89"/>
        <v>2.7754899781220477E-2</v>
      </c>
      <c r="S814" s="22">
        <v>3.7310168614061334E-2</v>
      </c>
      <c r="T814" s="19">
        <f t="shared" si="90"/>
        <v>4.2958458251180165E-2</v>
      </c>
      <c r="U814" s="24">
        <v>3.9167365020481348E-2</v>
      </c>
      <c r="V814" s="24">
        <f t="shared" si="91"/>
        <v>4.2955906994815996E-2</v>
      </c>
      <c r="W814" s="23">
        <f t="shared" si="92"/>
        <v>3.5110220076235432E-3</v>
      </c>
      <c r="X814" s="24">
        <v>3.8793084515567067E-2</v>
      </c>
      <c r="Y814" s="24">
        <f t="shared" si="93"/>
        <v>4.2956514147270308E-2</v>
      </c>
      <c r="Z814" s="23">
        <f t="shared" si="94"/>
        <v>3.51107058241662E-3</v>
      </c>
      <c r="AA814" s="36"/>
    </row>
    <row r="815" spans="4:27" ht="13.9" customHeight="1">
      <c r="D815" s="8"/>
      <c r="E815" s="9"/>
      <c r="F815" s="19"/>
      <c r="G815" s="19"/>
      <c r="H815" s="19"/>
      <c r="J815" s="45"/>
      <c r="K815" s="45"/>
      <c r="L815" s="45"/>
      <c r="M815" s="43"/>
      <c r="O815" s="12">
        <f t="shared" si="88"/>
        <v>66.833333333333329</v>
      </c>
      <c r="P815" s="13">
        <v>802</v>
      </c>
      <c r="Q815" s="22">
        <v>2.7261371312944149E-2</v>
      </c>
      <c r="R815" s="19">
        <f t="shared" si="89"/>
        <v>2.7759781383201787E-2</v>
      </c>
      <c r="S815" s="22">
        <v>3.7317192287958267E-2</v>
      </c>
      <c r="T815" s="19">
        <f t="shared" si="90"/>
        <v>4.2958903541470361E-2</v>
      </c>
      <c r="U815" s="24">
        <v>3.9172080308834678E-2</v>
      </c>
      <c r="V815" s="24">
        <f t="shared" si="91"/>
        <v>4.2956347722129307E-2</v>
      </c>
      <c r="W815" s="23">
        <f t="shared" si="92"/>
        <v>3.5110577027848144E-3</v>
      </c>
      <c r="X815" s="24">
        <v>3.8798265461718273E-2</v>
      </c>
      <c r="Y815" s="24">
        <f t="shared" si="93"/>
        <v>4.2956956129075463E-2</v>
      </c>
      <c r="Z815" s="23">
        <f t="shared" si="94"/>
        <v>3.5111063852550917E-3</v>
      </c>
      <c r="AA815" s="36"/>
    </row>
    <row r="816" spans="4:27" ht="13.9" customHeight="1">
      <c r="D816" s="8"/>
      <c r="E816" s="9"/>
      <c r="F816" s="19"/>
      <c r="G816" s="19"/>
      <c r="H816" s="19"/>
      <c r="J816" s="45"/>
      <c r="K816" s="45"/>
      <c r="L816" s="45"/>
      <c r="M816" s="43"/>
      <c r="O816" s="12">
        <f t="shared" si="88"/>
        <v>66.916666666666671</v>
      </c>
      <c r="P816" s="13">
        <v>803</v>
      </c>
      <c r="Q816" s="22">
        <v>2.7261991847626232E-2</v>
      </c>
      <c r="R816" s="19">
        <f t="shared" si="89"/>
        <v>2.7764622042131704E-2</v>
      </c>
      <c r="S816" s="22">
        <v>3.732419906718909E-2</v>
      </c>
      <c r="T816" s="19">
        <f t="shared" si="90"/>
        <v>4.2959344056918924E-2</v>
      </c>
      <c r="U816" s="24">
        <v>3.9176784421186106E-2</v>
      </c>
      <c r="V816" s="24">
        <f t="shared" si="91"/>
        <v>4.29567840427727E-2</v>
      </c>
      <c r="W816" s="23">
        <f t="shared" si="92"/>
        <v>3.5110930410193752E-3</v>
      </c>
      <c r="X816" s="24">
        <v>3.8803434077858689E-2</v>
      </c>
      <c r="Y816" s="24">
        <f t="shared" si="93"/>
        <v>4.2957393616992467E-2</v>
      </c>
      <c r="Z816" s="23">
        <f t="shared" si="94"/>
        <v>3.5111418240578729E-3</v>
      </c>
      <c r="AA816" s="36"/>
    </row>
    <row r="817" spans="4:27" ht="13.9" customHeight="1">
      <c r="D817" s="8"/>
      <c r="E817" s="9"/>
      <c r="F817" s="19"/>
      <c r="G817" s="19"/>
      <c r="H817" s="19"/>
      <c r="J817" s="45"/>
      <c r="K817" s="45"/>
      <c r="L817" s="45"/>
      <c r="M817" s="43"/>
      <c r="O817" s="12">
        <f t="shared" si="88"/>
        <v>67</v>
      </c>
      <c r="P817" s="13">
        <v>804</v>
      </c>
      <c r="Q817" s="22">
        <v>2.7262616856856603E-2</v>
      </c>
      <c r="R817" s="19">
        <f t="shared" si="89"/>
        <v>2.7769422104082508E-2</v>
      </c>
      <c r="S817" s="22">
        <v>3.7331189008721344E-2</v>
      </c>
      <c r="T817" s="19">
        <f t="shared" si="90"/>
        <v>4.295977984951338E-2</v>
      </c>
      <c r="U817" s="24">
        <v>3.918147739370359E-2</v>
      </c>
      <c r="V817" s="24">
        <f t="shared" si="91"/>
        <v>4.2957216000771847E-2</v>
      </c>
      <c r="W817" s="23">
        <f t="shared" si="92"/>
        <v>3.5111280259065847E-3</v>
      </c>
      <c r="X817" s="24">
        <v>3.8808590404340704E-2</v>
      </c>
      <c r="Y817" s="24">
        <f t="shared" si="93"/>
        <v>4.2957826657333831E-2</v>
      </c>
      <c r="Z817" s="23">
        <f t="shared" si="94"/>
        <v>3.51117690252023E-3</v>
      </c>
      <c r="AA817" s="36"/>
    </row>
    <row r="818" spans="4:27" ht="13.9" customHeight="1">
      <c r="D818" s="8"/>
      <c r="E818" s="9"/>
      <c r="F818" s="19"/>
      <c r="G818" s="19"/>
      <c r="H818" s="19"/>
      <c r="J818" s="45"/>
      <c r="K818" s="45"/>
      <c r="L818" s="45"/>
      <c r="M818" s="43"/>
      <c r="O818" s="12">
        <f t="shared" si="88"/>
        <v>67.083333333333329</v>
      </c>
      <c r="P818" s="13">
        <v>805</v>
      </c>
      <c r="Q818" s="22">
        <v>2.7263246273534936E-2</v>
      </c>
      <c r="R818" s="19">
        <f t="shared" si="89"/>
        <v>2.7774181913949647E-2</v>
      </c>
      <c r="S818" s="22">
        <v>3.7338162169304523E-2</v>
      </c>
      <c r="T818" s="19">
        <f t="shared" si="90"/>
        <v>4.2960210969325452E-2</v>
      </c>
      <c r="U818" s="24">
        <v>3.918615926243052E-2</v>
      </c>
      <c r="V818" s="24">
        <f t="shared" si="91"/>
        <v>4.2957643640099352E-2</v>
      </c>
      <c r="W818" s="23">
        <f t="shared" si="92"/>
        <v>3.5111626609767299E-3</v>
      </c>
      <c r="X818" s="24">
        <v>3.8813734481373929E-2</v>
      </c>
      <c r="Y818" s="24">
        <f t="shared" si="93"/>
        <v>4.2958255295114656E-2</v>
      </c>
      <c r="Z818" s="23">
        <f t="shared" si="94"/>
        <v>3.5112116243556368E-3</v>
      </c>
      <c r="AA818" s="36"/>
    </row>
    <row r="819" spans="4:27" ht="13.9" customHeight="1">
      <c r="D819" s="8"/>
      <c r="E819" s="9"/>
      <c r="F819" s="19"/>
      <c r="G819" s="19"/>
      <c r="H819" s="19"/>
      <c r="J819" s="45"/>
      <c r="K819" s="45"/>
      <c r="L819" s="45"/>
      <c r="M819" s="43"/>
      <c r="O819" s="12">
        <f t="shared" si="88"/>
        <v>67.166666666666671</v>
      </c>
      <c r="P819" s="13">
        <v>806</v>
      </c>
      <c r="Q819" s="22">
        <v>2.7263880031322296E-2</v>
      </c>
      <c r="R819" s="19">
        <f t="shared" si="89"/>
        <v>2.7778901812147927E-2</v>
      </c>
      <c r="S819" s="22">
        <v>3.7345118605468963E-2</v>
      </c>
      <c r="T819" s="19">
        <f t="shared" si="90"/>
        <v>4.2960637466910256E-2</v>
      </c>
      <c r="U819" s="24">
        <v>3.9190830063285942E-2</v>
      </c>
      <c r="V819" s="24">
        <f t="shared" si="91"/>
        <v>4.2958067003557199E-2</v>
      </c>
      <c r="W819" s="23">
        <f t="shared" si="92"/>
        <v>3.5111969497561013E-3</v>
      </c>
      <c r="X819" s="24">
        <v>3.8818866349024317E-2</v>
      </c>
      <c r="Y819" s="24">
        <f t="shared" si="93"/>
        <v>4.2958679574484515E-2</v>
      </c>
      <c r="Z819" s="23">
        <f t="shared" si="94"/>
        <v>3.5112459931740947E-3</v>
      </c>
      <c r="AA819" s="36"/>
    </row>
    <row r="820" spans="4:27" ht="13.9" customHeight="1">
      <c r="D820" s="8"/>
      <c r="E820" s="9"/>
      <c r="F820" s="19"/>
      <c r="G820" s="19"/>
      <c r="H820" s="19"/>
      <c r="J820" s="45"/>
      <c r="K820" s="45"/>
      <c r="L820" s="45"/>
      <c r="M820" s="43"/>
      <c r="O820" s="12">
        <f t="shared" si="88"/>
        <v>67.25</v>
      </c>
      <c r="P820" s="13">
        <v>807</v>
      </c>
      <c r="Q820" s="22">
        <v>2.7264518064630927E-2</v>
      </c>
      <c r="R820" s="19">
        <f t="shared" si="89"/>
        <v>2.7783582136588825E-2</v>
      </c>
      <c r="S820" s="22">
        <v>3.7352058373527619E-2</v>
      </c>
      <c r="T820" s="19">
        <f t="shared" si="90"/>
        <v>4.2961059391373402E-2</v>
      </c>
      <c r="U820" s="24">
        <v>3.919548983206389E-2</v>
      </c>
      <c r="V820" s="24">
        <f t="shared" si="91"/>
        <v>4.2958486134070384E-2</v>
      </c>
      <c r="W820" s="23">
        <f t="shared" si="92"/>
        <v>3.5112308956768423E-3</v>
      </c>
      <c r="X820" s="24">
        <v>3.8823986047214154E-2</v>
      </c>
      <c r="Y820" s="24">
        <f t="shared" si="93"/>
        <v>4.295909954087529E-2</v>
      </c>
      <c r="Z820" s="23">
        <f t="shared" si="94"/>
        <v>3.5112800125156607E-3</v>
      </c>
      <c r="AA820" s="36"/>
    </row>
    <row r="821" spans="4:27" ht="13.9" customHeight="1">
      <c r="D821" s="8"/>
      <c r="E821" s="9"/>
      <c r="F821" s="19"/>
      <c r="G821" s="19"/>
      <c r="H821" s="19"/>
      <c r="J821" s="45"/>
      <c r="K821" s="45"/>
      <c r="L821" s="45"/>
      <c r="M821" s="43"/>
      <c r="O821" s="12">
        <f t="shared" si="88"/>
        <v>67.333333333333329</v>
      </c>
      <c r="P821" s="13">
        <v>808</v>
      </c>
      <c r="Q821" s="22">
        <v>2.7265160308616032E-2</v>
      </c>
      <c r="R821" s="19">
        <f t="shared" si="89"/>
        <v>2.7788223223436548E-2</v>
      </c>
      <c r="S821" s="22">
        <v>3.7358981529576063E-2</v>
      </c>
      <c r="T821" s="19">
        <f t="shared" si="90"/>
        <v>4.2961476792209297E-2</v>
      </c>
      <c r="U821" s="24">
        <v>3.9200138604434498E-2</v>
      </c>
      <c r="V821" s="24">
        <f t="shared" si="91"/>
        <v>4.2958901073855138E-2</v>
      </c>
      <c r="W821" s="23">
        <f t="shared" si="92"/>
        <v>3.5112645021813105E-3</v>
      </c>
      <c r="X821" s="24">
        <v>3.8829093615724064E-2</v>
      </c>
      <c r="Y821" s="24">
        <f t="shared" si="93"/>
        <v>4.2959515237264823E-2</v>
      </c>
      <c r="Z821" s="23">
        <f t="shared" si="94"/>
        <v>3.5113136860240868E-3</v>
      </c>
      <c r="AA821" s="36"/>
    </row>
    <row r="822" spans="4:27" ht="13.9" customHeight="1">
      <c r="D822" s="8"/>
      <c r="E822" s="9"/>
      <c r="F822" s="19"/>
      <c r="G822" s="19"/>
      <c r="H822" s="19"/>
      <c r="J822" s="45"/>
      <c r="K822" s="45"/>
      <c r="L822" s="45"/>
      <c r="M822" s="43"/>
      <c r="O822" s="12">
        <f t="shared" si="88"/>
        <v>67.416666666666671</v>
      </c>
      <c r="P822" s="13">
        <v>809</v>
      </c>
      <c r="Q822" s="22">
        <v>2.7265806699169781E-2</v>
      </c>
      <c r="R822" s="19">
        <f t="shared" si="89"/>
        <v>2.7792825403913701E-2</v>
      </c>
      <c r="S822" s="22">
        <v>3.7365888129493596E-2</v>
      </c>
      <c r="T822" s="19">
        <f t="shared" si="90"/>
        <v>4.2961889717767709E-2</v>
      </c>
      <c r="U822" s="24">
        <v>3.9204776415943776E-2</v>
      </c>
      <c r="V822" s="24">
        <f t="shared" si="91"/>
        <v>4.2959311865104377E-2</v>
      </c>
      <c r="W822" s="23">
        <f t="shared" si="92"/>
        <v>3.5112977726547978E-3</v>
      </c>
      <c r="X822" s="24">
        <v>3.8834189094191895E-2</v>
      </c>
      <c r="Y822" s="24">
        <f t="shared" si="93"/>
        <v>4.2959926707660578E-2</v>
      </c>
      <c r="Z822" s="23">
        <f t="shared" si="94"/>
        <v>3.5113470171452832E-3</v>
      </c>
      <c r="AA822" s="36"/>
    </row>
    <row r="823" spans="4:27" ht="13.9" customHeight="1">
      <c r="D823" s="8"/>
      <c r="E823" s="9"/>
      <c r="F823" s="19"/>
      <c r="G823" s="19"/>
      <c r="H823" s="19"/>
      <c r="J823" s="45"/>
      <c r="K823" s="45"/>
      <c r="L823" s="45"/>
      <c r="M823" s="43"/>
      <c r="O823" s="12">
        <f t="shared" si="88"/>
        <v>67.5</v>
      </c>
      <c r="P823" s="13">
        <v>810</v>
      </c>
      <c r="Q823" s="22">
        <v>2.7266457172909764E-2</v>
      </c>
      <c r="R823" s="19">
        <f t="shared" si="89"/>
        <v>2.7797389007776063E-2</v>
      </c>
      <c r="S823" s="22">
        <v>3.7372778228943915E-2</v>
      </c>
      <c r="T823" s="19">
        <f t="shared" si="90"/>
        <v>4.2962298215923012E-2</v>
      </c>
      <c r="U823" s="24">
        <v>3.9209403302014278E-2</v>
      </c>
      <c r="V823" s="24">
        <f t="shared" si="91"/>
        <v>4.2959718549206549E-2</v>
      </c>
      <c r="W823" s="23">
        <f t="shared" si="92"/>
        <v>3.51133071048082E-3</v>
      </c>
      <c r="X823" s="24">
        <v>3.8839272522113388E-2</v>
      </c>
      <c r="Y823" s="24">
        <f t="shared" si="93"/>
        <v>4.2960333994522593E-2</v>
      </c>
      <c r="Z823" s="23">
        <f t="shared" si="94"/>
        <v>3.5113800094082048E-3</v>
      </c>
      <c r="AA823" s="36"/>
    </row>
    <row r="824" spans="4:27" ht="13.9" customHeight="1">
      <c r="D824" s="8"/>
      <c r="E824" s="9"/>
      <c r="F824" s="19"/>
      <c r="G824" s="19"/>
      <c r="H824" s="19"/>
      <c r="J824" s="45"/>
      <c r="K824" s="45"/>
      <c r="L824" s="45"/>
      <c r="M824" s="43"/>
      <c r="O824" s="12">
        <f t="shared" si="88"/>
        <v>67.583333333333329</v>
      </c>
      <c r="P824" s="13">
        <v>811</v>
      </c>
      <c r="Q824" s="22">
        <v>2.726711166717366E-2</v>
      </c>
      <c r="R824" s="19">
        <f t="shared" si="89"/>
        <v>2.7801914361487601E-2</v>
      </c>
      <c r="S824" s="22">
        <v>3.7379651883375553E-2</v>
      </c>
      <c r="T824" s="19">
        <f t="shared" si="90"/>
        <v>4.2962702334606417E-2</v>
      </c>
      <c r="U824" s="24">
        <v>3.9214019297945102E-2</v>
      </c>
      <c r="V824" s="24">
        <f t="shared" si="91"/>
        <v>4.2960121167116672E-2</v>
      </c>
      <c r="W824" s="23">
        <f t="shared" si="92"/>
        <v>3.5113633189782778E-3</v>
      </c>
      <c r="X824" s="24">
        <v>3.8844343938842618E-2</v>
      </c>
      <c r="Y824" s="24">
        <f t="shared" si="93"/>
        <v>4.296073714104498E-2</v>
      </c>
      <c r="Z824" s="23">
        <f t="shared" si="94"/>
        <v>3.5114126662181278E-3</v>
      </c>
      <c r="AA824" s="36"/>
    </row>
    <row r="825" spans="4:27" ht="13.9" customHeight="1">
      <c r="D825" s="8"/>
      <c r="E825" s="9"/>
      <c r="F825" s="19"/>
      <c r="G825" s="19"/>
      <c r="H825" s="19"/>
      <c r="J825" s="45"/>
      <c r="K825" s="45"/>
      <c r="L825" s="45"/>
      <c r="M825" s="43"/>
      <c r="O825" s="12">
        <f t="shared" si="88"/>
        <v>67.666666666666671</v>
      </c>
      <c r="P825" s="13">
        <v>812</v>
      </c>
      <c r="Q825" s="22">
        <v>2.7267770120009693E-2</v>
      </c>
      <c r="R825" s="19">
        <f t="shared" si="89"/>
        <v>2.7806401788913471E-2</v>
      </c>
      <c r="S825" s="22">
        <v>3.7386509148022995E-2</v>
      </c>
      <c r="T825" s="19">
        <f t="shared" si="90"/>
        <v>4.2963102120232355E-2</v>
      </c>
      <c r="U825" s="24">
        <v>3.9218624438911664E-2</v>
      </c>
      <c r="V825" s="24">
        <f t="shared" si="91"/>
        <v>4.2960519759758675E-2</v>
      </c>
      <c r="W825" s="23">
        <f t="shared" si="92"/>
        <v>3.5113956014312109E-3</v>
      </c>
      <c r="X825" s="24">
        <v>3.8849403383592662E-2</v>
      </c>
      <c r="Y825" s="24">
        <f t="shared" si="93"/>
        <v>4.2961136188861548E-2</v>
      </c>
      <c r="Z825" s="23">
        <f t="shared" si="94"/>
        <v>3.5114449910385037E-3</v>
      </c>
      <c r="AA825" s="36"/>
    </row>
    <row r="826" spans="4:27" ht="13.9" customHeight="1">
      <c r="D826" s="8"/>
      <c r="E826" s="9"/>
      <c r="F826" s="19"/>
      <c r="G826" s="19"/>
      <c r="H826" s="19"/>
      <c r="J826" s="45"/>
      <c r="K826" s="45"/>
      <c r="L826" s="45"/>
      <c r="M826" s="43"/>
      <c r="O826" s="12">
        <f t="shared" si="88"/>
        <v>67.75</v>
      </c>
      <c r="P826" s="13">
        <v>813</v>
      </c>
      <c r="Q826" s="22">
        <v>2.7268432470169968E-2</v>
      </c>
      <c r="R826" s="19">
        <f t="shared" si="89"/>
        <v>2.7810851610724496E-2</v>
      </c>
      <c r="S826" s="22">
        <v>3.7393350077906673E-2</v>
      </c>
      <c r="T826" s="19">
        <f t="shared" si="90"/>
        <v>4.2963497619854296E-2</v>
      </c>
      <c r="U826" s="24">
        <v>3.922321875996726E-2</v>
      </c>
      <c r="V826" s="24">
        <f t="shared" si="91"/>
        <v>4.2960914367137004E-2</v>
      </c>
      <c r="W826" s="23">
        <f t="shared" si="92"/>
        <v>3.5114275611214385E-3</v>
      </c>
      <c r="X826" s="24">
        <v>3.8854450895435377E-2</v>
      </c>
      <c r="Y826" s="24">
        <f t="shared" si="93"/>
        <v>4.2961531179841694E-2</v>
      </c>
      <c r="Z826" s="23">
        <f t="shared" si="94"/>
        <v>3.5114769872077733E-3</v>
      </c>
      <c r="AA826" s="36"/>
    </row>
    <row r="827" spans="4:27" ht="13.9" customHeight="1">
      <c r="D827" s="8"/>
      <c r="E827" s="9"/>
      <c r="F827" s="19"/>
      <c r="G827" s="19"/>
      <c r="H827" s="19"/>
      <c r="J827" s="45"/>
      <c r="K827" s="45"/>
      <c r="L827" s="45"/>
      <c r="M827" s="43"/>
      <c r="O827" s="12">
        <f t="shared" si="88"/>
        <v>67.833333333333329</v>
      </c>
      <c r="P827" s="13">
        <v>814</v>
      </c>
      <c r="Q827" s="22">
        <v>2.7269098657101809E-2</v>
      </c>
      <c r="R827" s="19">
        <f t="shared" si="89"/>
        <v>2.7815264145281349E-2</v>
      </c>
      <c r="S827" s="22">
        <v>3.7400174727834523E-2</v>
      </c>
      <c r="T827" s="19">
        <f t="shared" si="90"/>
        <v>4.296388887888658E-2</v>
      </c>
      <c r="U827" s="24">
        <v>3.9227802296041725E-2</v>
      </c>
      <c r="V827" s="24">
        <f t="shared" si="91"/>
        <v>4.2961305029308727E-2</v>
      </c>
      <c r="W827" s="23">
        <f t="shared" si="92"/>
        <v>3.5114592012568391E-3</v>
      </c>
      <c r="X827" s="24">
        <v>3.8859486513301844E-2</v>
      </c>
      <c r="Y827" s="24">
        <f t="shared" si="93"/>
        <v>4.2961922155293264E-2</v>
      </c>
      <c r="Z827" s="23">
        <f t="shared" si="94"/>
        <v>3.5115086580836952E-3</v>
      </c>
      <c r="AA827" s="36"/>
    </row>
    <row r="828" spans="4:27" ht="13.9" customHeight="1">
      <c r="D828" s="8"/>
      <c r="E828" s="9"/>
      <c r="F828" s="19"/>
      <c r="G828" s="19"/>
      <c r="H828" s="19"/>
      <c r="J828" s="45"/>
      <c r="K828" s="45"/>
      <c r="L828" s="45"/>
      <c r="M828" s="43"/>
      <c r="O828" s="12">
        <f t="shared" si="88"/>
        <v>67.916666666666671</v>
      </c>
      <c r="P828" s="13">
        <v>815</v>
      </c>
      <c r="Q828" s="22">
        <v>2.7269768620940438E-2</v>
      </c>
      <c r="R828" s="19">
        <f t="shared" si="89"/>
        <v>2.7819639708053456E-2</v>
      </c>
      <c r="S828" s="22">
        <v>3.7406983152401763E-2</v>
      </c>
      <c r="T828" s="19">
        <f t="shared" si="90"/>
        <v>4.2964275943159658E-2</v>
      </c>
      <c r="U828" s="24">
        <v>3.9232375081942772E-2</v>
      </c>
      <c r="V828" s="24">
        <f t="shared" si="91"/>
        <v>4.2961691785729395E-2</v>
      </c>
      <c r="W828" s="23">
        <f t="shared" si="92"/>
        <v>3.5114905250495099E-3</v>
      </c>
      <c r="X828" s="24">
        <v>3.8864510275983033E-2</v>
      </c>
      <c r="Y828" s="24">
        <f t="shared" si="93"/>
        <v>4.296230915576893E-2</v>
      </c>
      <c r="Z828" s="23">
        <f t="shared" si="94"/>
        <v>3.5115400069787306E-3</v>
      </c>
      <c r="AA828" s="36"/>
    </row>
    <row r="829" spans="4:27" ht="13.9" customHeight="1">
      <c r="D829" s="8"/>
      <c r="E829" s="9"/>
      <c r="F829" s="19"/>
      <c r="G829" s="19"/>
      <c r="H829" s="19"/>
      <c r="J829" s="45"/>
      <c r="K829" s="45"/>
      <c r="L829" s="45"/>
      <c r="M829" s="43"/>
      <c r="O829" s="12">
        <f t="shared" si="88"/>
        <v>68</v>
      </c>
      <c r="P829" s="13">
        <v>816</v>
      </c>
      <c r="Q829" s="22">
        <v>2.7270442302501641E-2</v>
      </c>
      <c r="R829" s="19">
        <f t="shared" si="89"/>
        <v>2.7823978611821065E-2</v>
      </c>
      <c r="S829" s="22">
        <v>3.7413775405992444E-2</v>
      </c>
      <c r="T829" s="19">
        <f t="shared" si="90"/>
        <v>4.2964658857556515E-2</v>
      </c>
      <c r="U829" s="24">
        <v>3.9236937152355988E-2</v>
      </c>
      <c r="V829" s="24">
        <f t="shared" si="91"/>
        <v>4.2962074675276574E-2</v>
      </c>
      <c r="W829" s="23">
        <f t="shared" si="92"/>
        <v>3.5115215356635865E-3</v>
      </c>
      <c r="X829" s="24">
        <v>3.8869522222129582E-2</v>
      </c>
      <c r="Y829" s="24">
        <f t="shared" si="93"/>
        <v>4.2962692222140442E-2</v>
      </c>
      <c r="Z829" s="23">
        <f t="shared" si="94"/>
        <v>3.5115710371445008E-3</v>
      </c>
      <c r="AA829" s="36"/>
    </row>
    <row r="830" spans="4:27" ht="13.9" customHeight="1">
      <c r="D830" s="8"/>
      <c r="E830" s="9"/>
      <c r="F830" s="19"/>
      <c r="G830" s="19"/>
      <c r="H830" s="19"/>
      <c r="J830" s="45"/>
      <c r="K830" s="45"/>
      <c r="L830" s="45"/>
      <c r="M830" s="43"/>
      <c r="O830" s="12">
        <f t="shared" si="88"/>
        <v>68.083333333333329</v>
      </c>
      <c r="P830" s="13">
        <v>817</v>
      </c>
      <c r="Q830" s="22">
        <v>2.7271119643274E-2</v>
      </c>
      <c r="R830" s="19">
        <f t="shared" si="89"/>
        <v>2.7828281166180968E-2</v>
      </c>
      <c r="S830" s="22">
        <v>3.7420551542779457E-2</v>
      </c>
      <c r="T830" s="19">
        <f t="shared" si="90"/>
        <v>4.2965037666605976E-2</v>
      </c>
      <c r="U830" s="24">
        <v>3.9241488541844838E-2</v>
      </c>
      <c r="V830" s="24">
        <f t="shared" si="91"/>
        <v>4.2962453737111606E-2</v>
      </c>
      <c r="W830" s="23">
        <f t="shared" si="92"/>
        <v>3.5115522362165752E-3</v>
      </c>
      <c r="X830" s="24">
        <v>3.8874522390252908E-2</v>
      </c>
      <c r="Y830" s="24">
        <f t="shared" si="93"/>
        <v>4.2963071394144237E-2</v>
      </c>
      <c r="Z830" s="23">
        <f t="shared" si="94"/>
        <v>3.5116017518588283E-3</v>
      </c>
      <c r="AA830" s="36"/>
    </row>
    <row r="831" spans="4:27" ht="13.9" customHeight="1">
      <c r="D831" s="8"/>
      <c r="E831" s="9"/>
      <c r="F831" s="19"/>
      <c r="G831" s="19"/>
      <c r="H831" s="19"/>
      <c r="J831" s="45"/>
      <c r="K831" s="45"/>
      <c r="L831" s="45"/>
      <c r="M831" s="43"/>
      <c r="O831" s="12">
        <f t="shared" si="88"/>
        <v>68.166666666666671</v>
      </c>
      <c r="P831" s="13">
        <v>818</v>
      </c>
      <c r="Q831" s="22">
        <v>2.7271800585411121E-2</v>
      </c>
      <c r="R831" s="19">
        <f t="shared" si="89"/>
        <v>2.7832547678859232E-2</v>
      </c>
      <c r="S831" s="22">
        <v>3.7427311616725856E-2</v>
      </c>
      <c r="T831" s="19">
        <f t="shared" si="90"/>
        <v>4.2965412414659898E-2</v>
      </c>
      <c r="U831" s="24">
        <v>3.9246029284851547E-2</v>
      </c>
      <c r="V831" s="24">
        <f t="shared" si="91"/>
        <v>4.2962829008966308E-2</v>
      </c>
      <c r="W831" s="23">
        <f t="shared" si="92"/>
        <v>3.5115826298486308E-3</v>
      </c>
      <c r="X831" s="24">
        <v>3.8879510818724983E-2</v>
      </c>
      <c r="Y831" s="24">
        <f t="shared" si="93"/>
        <v>4.2963446711254738E-2</v>
      </c>
      <c r="Z831" s="23">
        <f t="shared" si="94"/>
        <v>3.511632154307831E-3</v>
      </c>
      <c r="AA831" s="36"/>
    </row>
    <row r="832" spans="4:27" ht="13.9" customHeight="1">
      <c r="D832" s="8"/>
      <c r="E832" s="9"/>
      <c r="F832" s="19"/>
      <c r="G832" s="19"/>
      <c r="H832" s="19"/>
      <c r="J832" s="45"/>
      <c r="K832" s="45"/>
      <c r="L832" s="45"/>
      <c r="M832" s="43"/>
      <c r="O832" s="12">
        <f t="shared" si="88"/>
        <v>68.25</v>
      </c>
      <c r="P832" s="13">
        <v>819</v>
      </c>
      <c r="Q832" s="22">
        <v>2.7272485071724972E-2</v>
      </c>
      <c r="R832" s="19">
        <f t="shared" si="89"/>
        <v>2.7836778454348288E-2</v>
      </c>
      <c r="S832" s="22">
        <v>3.743405568158531E-2</v>
      </c>
      <c r="T832" s="19">
        <f t="shared" si="90"/>
        <v>4.2965783144597314E-2</v>
      </c>
      <c r="U832" s="24">
        <v>3.925055941569644E-2</v>
      </c>
      <c r="V832" s="24">
        <f t="shared" si="91"/>
        <v>4.2963200528726819E-2</v>
      </c>
      <c r="W832" s="23">
        <f t="shared" si="92"/>
        <v>3.5116127195855551E-3</v>
      </c>
      <c r="X832" s="24">
        <v>3.8884487545778779E-2</v>
      </c>
      <c r="Y832" s="24">
        <f t="shared" si="93"/>
        <v>4.2963818213237026E-2</v>
      </c>
      <c r="Z832" s="23">
        <f t="shared" si="94"/>
        <v>3.511662247657199E-3</v>
      </c>
      <c r="AA832" s="36"/>
    </row>
    <row r="833" spans="4:27" ht="13.9" customHeight="1">
      <c r="D833" s="8"/>
      <c r="E833" s="9"/>
      <c r="F833" s="19"/>
      <c r="G833" s="19"/>
      <c r="H833" s="19"/>
      <c r="J833" s="45"/>
      <c r="K833" s="45"/>
      <c r="L833" s="45"/>
      <c r="M833" s="43"/>
      <c r="O833" s="12">
        <f t="shared" si="88"/>
        <v>68.333333333333329</v>
      </c>
      <c r="P833" s="13">
        <v>820</v>
      </c>
      <c r="Q833" s="22">
        <v>2.7273173045678112E-2</v>
      </c>
      <c r="R833" s="19">
        <f t="shared" si="89"/>
        <v>2.7840973794787338E-2</v>
      </c>
      <c r="S833" s="22">
        <v>3.7440783790902099E-2</v>
      </c>
      <c r="T833" s="19">
        <f t="shared" si="90"/>
        <v>4.2966149900094841E-2</v>
      </c>
      <c r="U833" s="24">
        <v>3.9255078968578827E-2</v>
      </c>
      <c r="V833" s="24">
        <f t="shared" si="91"/>
        <v>4.2963568334521751E-2</v>
      </c>
      <c r="W833" s="23">
        <f t="shared" si="92"/>
        <v>3.5116425084655845E-3</v>
      </c>
      <c r="X833" s="24">
        <v>3.8889452609508934E-2</v>
      </c>
      <c r="Y833" s="24">
        <f t="shared" si="93"/>
        <v>4.2964185938254573E-2</v>
      </c>
      <c r="Z833" s="23">
        <f t="shared" si="94"/>
        <v>3.5116920350954928E-3</v>
      </c>
      <c r="AA833" s="36"/>
    </row>
    <row r="834" spans="4:27" ht="13.9" customHeight="1">
      <c r="D834" s="8"/>
      <c r="E834" s="9"/>
      <c r="F834" s="19"/>
      <c r="G834" s="19"/>
      <c r="H834" s="19"/>
      <c r="J834" s="45"/>
      <c r="K834" s="45"/>
      <c r="L834" s="45"/>
      <c r="M834" s="43"/>
      <c r="O834" s="12">
        <f t="shared" si="88"/>
        <v>68.416666666666671</v>
      </c>
      <c r="P834" s="13">
        <v>821</v>
      </c>
      <c r="Q834" s="22">
        <v>2.7273864451377028E-2</v>
      </c>
      <c r="R834" s="19">
        <f t="shared" si="89"/>
        <v>2.7845133999620408E-2</v>
      </c>
      <c r="S834" s="22">
        <v>3.7447495998013114E-2</v>
      </c>
      <c r="T834" s="19">
        <f t="shared" si="90"/>
        <v>4.2966512723530137E-2</v>
      </c>
      <c r="U834" s="24">
        <v>3.925958797757767E-2</v>
      </c>
      <c r="V834" s="24">
        <f t="shared" si="91"/>
        <v>4.2963932463030208E-2</v>
      </c>
      <c r="W834" s="23">
        <f t="shared" si="92"/>
        <v>3.511671999545829E-3</v>
      </c>
      <c r="X834" s="24">
        <v>3.8894406047871533E-2</v>
      </c>
      <c r="Y834" s="24">
        <f t="shared" si="93"/>
        <v>4.2964549925134765E-2</v>
      </c>
      <c r="Z834" s="23">
        <f t="shared" si="94"/>
        <v>3.511721519682931E-3</v>
      </c>
      <c r="AA834" s="36"/>
    </row>
    <row r="835" spans="4:27" ht="13.9" customHeight="1">
      <c r="D835" s="8"/>
      <c r="E835" s="9"/>
      <c r="F835" s="19"/>
      <c r="G835" s="19"/>
      <c r="H835" s="19"/>
      <c r="J835" s="45"/>
      <c r="K835" s="45"/>
      <c r="L835" s="45"/>
      <c r="M835" s="43"/>
      <c r="O835" s="12">
        <f t="shared" si="88"/>
        <v>68.5</v>
      </c>
      <c r="P835" s="13">
        <v>822</v>
      </c>
      <c r="Q835" s="22">
        <v>2.7274559233564366E-2</v>
      </c>
      <c r="R835" s="19">
        <f t="shared" si="89"/>
        <v>2.7849259366154122E-2</v>
      </c>
      <c r="S835" s="22">
        <v>3.7454192356047633E-2</v>
      </c>
      <c r="T835" s="19">
        <f t="shared" si="90"/>
        <v>4.2966871656973993E-2</v>
      </c>
      <c r="U835" s="24">
        <v>3.9264086476650917E-2</v>
      </c>
      <c r="V835" s="24">
        <f t="shared" si="91"/>
        <v>4.2964292951328975E-2</v>
      </c>
      <c r="W835" s="23">
        <f t="shared" si="92"/>
        <v>3.5117011957677136E-3</v>
      </c>
      <c r="X835" s="24">
        <v>3.889934789868521E-2</v>
      </c>
      <c r="Y835" s="24">
        <f t="shared" si="93"/>
        <v>4.2964910212138552E-2</v>
      </c>
      <c r="Z835" s="23">
        <f t="shared" si="94"/>
        <v>3.5117507045330232E-3</v>
      </c>
      <c r="AA835" s="36"/>
    </row>
    <row r="836" spans="4:27" ht="13.9" customHeight="1">
      <c r="D836" s="8"/>
      <c r="E836" s="9"/>
      <c r="F836" s="19"/>
      <c r="G836" s="19"/>
      <c r="H836" s="19"/>
      <c r="J836" s="45"/>
      <c r="K836" s="45"/>
      <c r="L836" s="45"/>
      <c r="M836" s="43"/>
      <c r="O836" s="12">
        <f t="shared" si="88"/>
        <v>68.583333333333329</v>
      </c>
      <c r="P836" s="13">
        <v>823</v>
      </c>
      <c r="Q836" s="22">
        <v>2.7275257337613157E-2</v>
      </c>
      <c r="R836" s="19">
        <f t="shared" si="89"/>
        <v>2.7853350187712511E-2</v>
      </c>
      <c r="S836" s="22">
        <v>3.7460872917928212E-2</v>
      </c>
      <c r="T836" s="19">
        <f t="shared" si="90"/>
        <v>4.2967226742610665E-2</v>
      </c>
      <c r="U836" s="24">
        <v>3.926857449963661E-2</v>
      </c>
      <c r="V836" s="24">
        <f t="shared" si="91"/>
        <v>4.2964649835330437E-2</v>
      </c>
      <c r="W836" s="23">
        <f t="shared" si="92"/>
        <v>3.5117301001044154E-3</v>
      </c>
      <c r="X836" s="24">
        <v>3.8904278199631159E-2</v>
      </c>
      <c r="Y836" s="24">
        <f t="shared" si="93"/>
        <v>4.2965266835872429E-2</v>
      </c>
      <c r="Z836" s="23">
        <f t="shared" si="94"/>
        <v>3.5117795927139817E-3</v>
      </c>
      <c r="AA836" s="36"/>
    </row>
    <row r="837" spans="4:27" ht="13.9" customHeight="1">
      <c r="D837" s="8"/>
      <c r="E837" s="9"/>
      <c r="F837" s="19"/>
      <c r="G837" s="19"/>
      <c r="H837" s="19"/>
      <c r="J837" s="45"/>
      <c r="K837" s="45"/>
      <c r="L837" s="45"/>
      <c r="M837" s="43"/>
      <c r="O837" s="12">
        <f t="shared" si="88"/>
        <v>68.666666666666671</v>
      </c>
      <c r="P837" s="13">
        <v>824</v>
      </c>
      <c r="Q837" s="22">
        <v>2.7275958709517711E-2</v>
      </c>
      <c r="R837" s="19">
        <f t="shared" si="89"/>
        <v>2.7857406757328729E-2</v>
      </c>
      <c r="S837" s="22">
        <v>3.7467537736371792E-2</v>
      </c>
      <c r="T837" s="19">
        <f t="shared" si="90"/>
        <v>4.2967578021278152E-2</v>
      </c>
      <c r="U837" s="24">
        <v>3.9273052080252224E-2</v>
      </c>
      <c r="V837" s="24">
        <f t="shared" si="91"/>
        <v>4.296500315168994E-2</v>
      </c>
      <c r="W837" s="23">
        <f t="shared" si="92"/>
        <v>3.5117587154358532E-3</v>
      </c>
      <c r="X837" s="24">
        <v>3.8909196988252681E-2</v>
      </c>
      <c r="Y837" s="24">
        <f t="shared" si="93"/>
        <v>4.2965619834413049E-2</v>
      </c>
      <c r="Z837" s="23">
        <f t="shared" si="94"/>
        <v>3.5118081871614582E-3</v>
      </c>
      <c r="AA837" s="36"/>
    </row>
    <row r="838" spans="4:27" ht="13.9" customHeight="1">
      <c r="D838" s="8"/>
      <c r="E838" s="9"/>
      <c r="F838" s="19"/>
      <c r="G838" s="19"/>
      <c r="H838" s="19"/>
      <c r="J838" s="45"/>
      <c r="K838" s="45"/>
      <c r="L838" s="45"/>
      <c r="M838" s="43"/>
      <c r="O838" s="12">
        <f t="shared" si="88"/>
        <v>68.75</v>
      </c>
      <c r="P838" s="13">
        <v>825</v>
      </c>
      <c r="Q838" s="22">
        <v>2.7276663295889403E-2</v>
      </c>
      <c r="R838" s="19">
        <f t="shared" si="89"/>
        <v>2.7861429363487789E-2</v>
      </c>
      <c r="S838" s="22">
        <v>3.7474186863889702E-2</v>
      </c>
      <c r="T838" s="19">
        <f t="shared" si="90"/>
        <v>4.2967925533985873E-2</v>
      </c>
      <c r="U838" s="24">
        <v>3.9277519252096216E-2</v>
      </c>
      <c r="V838" s="24">
        <f t="shared" si="91"/>
        <v>4.2965352935743217E-2</v>
      </c>
      <c r="W838" s="23">
        <f t="shared" si="92"/>
        <v>3.5117870447010091E-3</v>
      </c>
      <c r="X838" s="24">
        <v>3.8914104301956964E-2</v>
      </c>
      <c r="Y838" s="24">
        <f t="shared" si="93"/>
        <v>4.2965969244723068E-2</v>
      </c>
      <c r="Z838" s="23">
        <f t="shared" si="94"/>
        <v>3.5118364909281219E-3</v>
      </c>
      <c r="AA838" s="36"/>
    </row>
    <row r="839" spans="4:27" ht="13.9" customHeight="1">
      <c r="D839" s="8"/>
      <c r="E839" s="9"/>
      <c r="F839" s="19"/>
      <c r="G839" s="19"/>
      <c r="H839" s="19"/>
      <c r="J839" s="45"/>
      <c r="K839" s="45"/>
      <c r="L839" s="45"/>
      <c r="M839" s="43"/>
      <c r="O839" s="12">
        <f t="shared" si="88"/>
        <v>68.833333333333329</v>
      </c>
      <c r="P839" s="13">
        <v>826</v>
      </c>
      <c r="Q839" s="22">
        <v>2.7277371043947785E-2</v>
      </c>
      <c r="R839" s="19">
        <f t="shared" si="89"/>
        <v>2.7865418293471444E-2</v>
      </c>
      <c r="S839" s="22">
        <v>3.7480820352789213E-2</v>
      </c>
      <c r="T839" s="19">
        <f t="shared" si="90"/>
        <v>4.2968269320979191E-2</v>
      </c>
      <c r="U839" s="24">
        <v>3.9281976048647138E-2</v>
      </c>
      <c r="V839" s="24">
        <f t="shared" si="91"/>
        <v>4.2965699222810461E-2</v>
      </c>
      <c r="W839" s="23">
        <f t="shared" si="92"/>
        <v>3.5118150907336165E-3</v>
      </c>
      <c r="X839" s="24">
        <v>3.8919000178015084E-2</v>
      </c>
      <c r="Y839" s="24">
        <f t="shared" si="93"/>
        <v>4.296631510291693E-2</v>
      </c>
      <c r="Z839" s="23">
        <f t="shared" si="94"/>
        <v>3.5118645069784904E-3</v>
      </c>
      <c r="AA839" s="36"/>
    </row>
    <row r="840" spans="4:27" ht="13.9" customHeight="1">
      <c r="D840" s="8"/>
      <c r="E840" s="9"/>
      <c r="F840" s="19"/>
      <c r="G840" s="19"/>
      <c r="H840" s="19"/>
      <c r="J840" s="45"/>
      <c r="K840" s="45"/>
      <c r="L840" s="45"/>
      <c r="M840" s="43"/>
      <c r="O840" s="12">
        <f t="shared" si="88"/>
        <v>68.916666666666671</v>
      </c>
      <c r="P840" s="13">
        <v>827</v>
      </c>
      <c r="Q840" s="22">
        <v>2.7278081901515261E-2</v>
      </c>
      <c r="R840" s="19">
        <f t="shared" si="89"/>
        <v>2.786937383120458E-2</v>
      </c>
      <c r="S840" s="22">
        <v>3.7487438255173089E-2</v>
      </c>
      <c r="T840" s="19">
        <f t="shared" si="90"/>
        <v>4.2968609422526338E-2</v>
      </c>
      <c r="U840" s="24">
        <v>3.9286422503264751E-2</v>
      </c>
      <c r="V840" s="24">
        <f t="shared" si="91"/>
        <v>4.2966042048221631E-2</v>
      </c>
      <c r="W840" s="23">
        <f t="shared" si="92"/>
        <v>3.5118428563660764E-3</v>
      </c>
      <c r="X840" s="24">
        <v>3.8923884653561336E-2</v>
      </c>
      <c r="Y840" s="24">
        <f t="shared" si="93"/>
        <v>4.2966657445375755E-2</v>
      </c>
      <c r="Z840" s="23">
        <f t="shared" si="94"/>
        <v>3.5118922382084694E-3</v>
      </c>
      <c r="AA840" s="36"/>
    </row>
    <row r="841" spans="4:27" ht="13.9" customHeight="1">
      <c r="D841" s="8"/>
      <c r="E841" s="9"/>
      <c r="F841" s="19"/>
      <c r="G841" s="19"/>
      <c r="H841" s="19"/>
      <c r="J841" s="45"/>
      <c r="K841" s="45"/>
      <c r="L841" s="45"/>
      <c r="M841" s="43"/>
      <c r="O841" s="12">
        <f t="shared" si="88"/>
        <v>69</v>
      </c>
      <c r="P841" s="13">
        <v>828</v>
      </c>
      <c r="Q841" s="22">
        <v>2.7278795817009538E-2</v>
      </c>
      <c r="R841" s="19">
        <f t="shared" si="89"/>
        <v>2.7873296259003144E-2</v>
      </c>
      <c r="S841" s="22">
        <v>3.7494040622941815E-2</v>
      </c>
      <c r="T841" s="19">
        <f t="shared" si="90"/>
        <v>4.2968945877721154E-2</v>
      </c>
      <c r="U841" s="24">
        <v>3.9290858649190019E-2</v>
      </c>
      <c r="V841" s="24">
        <f t="shared" si="91"/>
        <v>4.2966381446222446E-2</v>
      </c>
      <c r="W841" s="23">
        <f t="shared" si="92"/>
        <v>3.5118703444310118E-3</v>
      </c>
      <c r="X841" s="24">
        <v>3.8928757765595234E-2</v>
      </c>
      <c r="Y841" s="24">
        <f t="shared" si="93"/>
        <v>4.2966996307525873E-2</v>
      </c>
      <c r="Z841" s="23">
        <f t="shared" si="94"/>
        <v>3.5119196875350589E-3</v>
      </c>
      <c r="AA841" s="36"/>
    </row>
    <row r="842" spans="4:27" ht="13.9" customHeight="1">
      <c r="D842" s="8"/>
      <c r="E842" s="9"/>
      <c r="F842" s="19"/>
      <c r="G842" s="19"/>
      <c r="H842" s="19"/>
      <c r="J842" s="45"/>
      <c r="K842" s="45"/>
      <c r="L842" s="45"/>
      <c r="M842" s="43"/>
      <c r="O842" s="12">
        <f t="shared" si="88"/>
        <v>69.083333333333329</v>
      </c>
      <c r="P842" s="13">
        <v>829</v>
      </c>
      <c r="Q842" s="22">
        <v>2.7279512739437628E-2</v>
      </c>
      <c r="R842" s="19">
        <f t="shared" si="89"/>
        <v>2.787718585632093E-2</v>
      </c>
      <c r="S842" s="22">
        <v>3.7500627507792705E-2</v>
      </c>
      <c r="T842" s="19">
        <f t="shared" si="90"/>
        <v>4.2969278726014526E-2</v>
      </c>
      <c r="U842" s="24">
        <v>3.9295284519545115E-2</v>
      </c>
      <c r="V842" s="24">
        <f t="shared" si="91"/>
        <v>4.2966717450874325E-2</v>
      </c>
      <c r="W842" s="23">
        <f t="shared" si="92"/>
        <v>3.5118975576751144E-3</v>
      </c>
      <c r="X842" s="24">
        <v>3.8933619550980181E-2</v>
      </c>
      <c r="Y842" s="24">
        <f t="shared" si="93"/>
        <v>4.2967331725139113E-2</v>
      </c>
      <c r="Z842" s="23">
        <f t="shared" si="94"/>
        <v>3.5119468577993196E-3</v>
      </c>
      <c r="AA842" s="36"/>
    </row>
    <row r="843" spans="4:27" ht="13.9" customHeight="1">
      <c r="D843" s="8"/>
      <c r="E843" s="9"/>
      <c r="F843" s="19"/>
      <c r="G843" s="19"/>
      <c r="H843" s="19"/>
      <c r="J843" s="45"/>
      <c r="K843" s="45"/>
      <c r="L843" s="45"/>
      <c r="M843" s="43"/>
      <c r="O843" s="12">
        <f t="shared" si="88"/>
        <v>69.166666666666671</v>
      </c>
      <c r="P843" s="13">
        <v>830</v>
      </c>
      <c r="Q843" s="22">
        <v>2.7280232618389411E-2</v>
      </c>
      <c r="R843" s="19">
        <f t="shared" si="89"/>
        <v>2.7881042899680075E-2</v>
      </c>
      <c r="S843" s="22">
        <v>3.7507198961221899E-2</v>
      </c>
      <c r="T843" s="19">
        <f t="shared" si="90"/>
        <v>4.296960800575822E-2</v>
      </c>
      <c r="U843" s="24">
        <v>3.9299700147333638E-2</v>
      </c>
      <c r="V843" s="24">
        <f t="shared" si="91"/>
        <v>4.2967050096953674E-2</v>
      </c>
      <c r="W843" s="23">
        <f t="shared" si="92"/>
        <v>3.5119244988290887E-3</v>
      </c>
      <c r="X843" s="24">
        <v>3.8938470046445239E-2</v>
      </c>
      <c r="Y843" s="24">
        <f t="shared" si="93"/>
        <v>4.296766373309957E-2</v>
      </c>
      <c r="Z843" s="23">
        <f t="shared" si="94"/>
        <v>3.5119737518696237E-3</v>
      </c>
      <c r="AA843" s="36"/>
    </row>
    <row r="844" spans="4:27" ht="13.9" customHeight="1">
      <c r="D844" s="8"/>
      <c r="E844" s="9"/>
      <c r="F844" s="19"/>
      <c r="G844" s="19"/>
      <c r="H844" s="19"/>
      <c r="J844" s="45"/>
      <c r="K844" s="45"/>
      <c r="L844" s="45"/>
      <c r="M844" s="43"/>
      <c r="O844" s="12">
        <f t="shared" si="88"/>
        <v>69.25</v>
      </c>
      <c r="P844" s="13">
        <v>831</v>
      </c>
      <c r="Q844" s="22">
        <v>2.7280955404030305E-2</v>
      </c>
      <c r="R844" s="19">
        <f t="shared" si="89"/>
        <v>2.7884867664783153E-2</v>
      </c>
      <c r="S844" s="22">
        <v>3.7513755034524143E-2</v>
      </c>
      <c r="T844" s="19">
        <f t="shared" si="90"/>
        <v>4.2969933756023426E-2</v>
      </c>
      <c r="U844" s="24">
        <v>3.9304105565442393E-2</v>
      </c>
      <c r="V844" s="24">
        <f t="shared" si="91"/>
        <v>4.2967379417352847E-2</v>
      </c>
      <c r="W844" s="23">
        <f t="shared" si="92"/>
        <v>3.5119511706820372E-3</v>
      </c>
      <c r="X844" s="24">
        <v>3.8943309288585137E-2</v>
      </c>
      <c r="Y844" s="24">
        <f t="shared" si="93"/>
        <v>4.2967992365949392E-2</v>
      </c>
      <c r="Z844" s="23">
        <f t="shared" si="94"/>
        <v>3.5120003725432891E-3</v>
      </c>
      <c r="AA844" s="36"/>
    </row>
    <row r="845" spans="4:27" ht="13.9" customHeight="1">
      <c r="D845" s="8"/>
      <c r="E845" s="9"/>
      <c r="F845" s="19"/>
      <c r="G845" s="19"/>
      <c r="H845" s="19"/>
      <c r="J845" s="45"/>
      <c r="K845" s="45"/>
      <c r="L845" s="45"/>
      <c r="M845" s="43"/>
      <c r="O845" s="12">
        <f t="shared" si="88"/>
        <v>69.333333333333329</v>
      </c>
      <c r="P845" s="13">
        <v>832</v>
      </c>
      <c r="Q845" s="22">
        <v>2.7281681047096606E-2</v>
      </c>
      <c r="R845" s="19">
        <f t="shared" si="89"/>
        <v>2.7888660423309508E-2</v>
      </c>
      <c r="S845" s="22">
        <v>3.7520295778794788E-2</v>
      </c>
      <c r="T845" s="19">
        <f t="shared" si="90"/>
        <v>4.2970256013344477E-2</v>
      </c>
      <c r="U845" s="24">
        <v>3.9308500806639612E-2</v>
      </c>
      <c r="V845" s="24">
        <f t="shared" si="91"/>
        <v>4.2967705445622117E-2</v>
      </c>
      <c r="W845" s="23">
        <f t="shared" si="92"/>
        <v>3.5119775758714056E-3</v>
      </c>
      <c r="X845" s="24">
        <v>3.8948137313859821E-2</v>
      </c>
      <c r="Y845" s="24">
        <f t="shared" si="93"/>
        <v>4.2968317658254485E-2</v>
      </c>
      <c r="Z845" s="23">
        <f t="shared" si="94"/>
        <v>3.5120267225901003E-3</v>
      </c>
      <c r="AA845" s="36"/>
    </row>
    <row r="846" spans="4:27" ht="13.9" customHeight="1">
      <c r="D846" s="8"/>
      <c r="E846" s="9"/>
      <c r="F846" s="19"/>
      <c r="G846" s="19"/>
      <c r="H846" s="19"/>
      <c r="J846" s="45"/>
      <c r="K846" s="45"/>
      <c r="L846" s="45"/>
      <c r="M846" s="43"/>
      <c r="O846" s="12">
        <f t="shared" ref="O846:O909" si="95">P846/12</f>
        <v>69.416666666666671</v>
      </c>
      <c r="P846" s="13">
        <v>833</v>
      </c>
      <c r="Q846" s="22">
        <v>2.7282409498887938E-2</v>
      </c>
      <c r="R846" s="19">
        <f t="shared" ref="R846:R909" si="96">(1+Q847)^P847/(1+Q846)^P846-1</f>
        <v>2.7892421445346427E-2</v>
      </c>
      <c r="S846" s="22">
        <v>3.7526821244928232E-2</v>
      </c>
      <c r="T846" s="19">
        <f t="shared" ref="T846:T909" si="97">(1+S847)^P847/(1+S846)^P846-1</f>
        <v>4.2970574816642682E-2</v>
      </c>
      <c r="U846" s="24">
        <v>3.9312885903576511E-2</v>
      </c>
      <c r="V846" s="24">
        <f t="shared" ref="V846:V909" si="98">(1+U847)^P847/(1+U846)^P846-1</f>
        <v>4.2968028214489529E-2</v>
      </c>
      <c r="W846" s="23">
        <f t="shared" si="92"/>
        <v>3.5120037170872642E-3</v>
      </c>
      <c r="X846" s="24">
        <v>3.8952954158596009E-2</v>
      </c>
      <c r="Y846" s="24">
        <f t="shared" si="93"/>
        <v>4.2968639643733209E-2</v>
      </c>
      <c r="Z846" s="23">
        <f t="shared" si="94"/>
        <v>3.51205280478184E-3</v>
      </c>
      <c r="AA846" s="36"/>
    </row>
    <row r="847" spans="4:27" ht="13.9" customHeight="1">
      <c r="D847" s="8"/>
      <c r="E847" s="9"/>
      <c r="F847" s="19"/>
      <c r="G847" s="19"/>
      <c r="H847" s="19"/>
      <c r="J847" s="45"/>
      <c r="K847" s="45"/>
      <c r="L847" s="45"/>
      <c r="M847" s="43"/>
      <c r="O847" s="12">
        <f t="shared" si="95"/>
        <v>69.5</v>
      </c>
      <c r="P847" s="13">
        <v>834</v>
      </c>
      <c r="Q847" s="22">
        <v>2.7283140711261034E-2</v>
      </c>
      <c r="R847" s="19">
        <f t="shared" si="96"/>
        <v>2.7896150998917735E-2</v>
      </c>
      <c r="S847" s="22">
        <v>3.7533331483621479E-2</v>
      </c>
      <c r="T847" s="19">
        <f t="shared" si="97"/>
        <v>4.2970890201573742E-2</v>
      </c>
      <c r="U847" s="24">
        <v>3.9317260888787064E-2</v>
      </c>
      <c r="V847" s="24">
        <f t="shared" si="98"/>
        <v>4.2968347756672465E-2</v>
      </c>
      <c r="W847" s="23">
        <f t="shared" ref="W847:W910" si="99">(1+V846)^(1/12)-1</f>
        <v>3.5120295969544024E-3</v>
      </c>
      <c r="X847" s="24">
        <v>3.8957759858986751E-2</v>
      </c>
      <c r="Y847" s="24">
        <f t="shared" ref="Y847:Y910" si="100">(1+X848)^P848/(1+X847)^P847-1</f>
        <v>4.2968958356335074E-2</v>
      </c>
      <c r="Z847" s="23">
        <f t="shared" ref="Z847:Z910" si="101">(1+Y846)^(1/12)-1</f>
        <v>3.5120786218221234E-3</v>
      </c>
      <c r="AA847" s="36"/>
    </row>
    <row r="848" spans="4:27" ht="13.9" customHeight="1">
      <c r="D848" s="8"/>
      <c r="E848" s="9"/>
      <c r="F848" s="19"/>
      <c r="G848" s="19"/>
      <c r="H848" s="19"/>
      <c r="J848" s="45"/>
      <c r="K848" s="45"/>
      <c r="L848" s="45"/>
      <c r="M848" s="43"/>
      <c r="O848" s="12">
        <f t="shared" si="95"/>
        <v>69.583333333333329</v>
      </c>
      <c r="P848" s="13">
        <v>835</v>
      </c>
      <c r="Q848" s="22">
        <v>2.7283874636624628E-2</v>
      </c>
      <c r="R848" s="19">
        <f t="shared" si="96"/>
        <v>2.7899849349191097E-2</v>
      </c>
      <c r="S848" s="22">
        <v>3.7539826545371913E-2</v>
      </c>
      <c r="T848" s="19">
        <f t="shared" si="97"/>
        <v>4.2971202205986048E-2</v>
      </c>
      <c r="U848" s="24">
        <v>3.9321625794688897E-2</v>
      </c>
      <c r="V848" s="24">
        <f t="shared" si="98"/>
        <v>4.2968664104353849E-2</v>
      </c>
      <c r="W848" s="23">
        <f t="shared" si="99"/>
        <v>3.5120552180960551E-3</v>
      </c>
      <c r="X848" s="24">
        <v>3.8962554451092535E-2</v>
      </c>
      <c r="Y848" s="24">
        <f t="shared" si="100"/>
        <v>4.2969273829003507E-2</v>
      </c>
      <c r="Z848" s="23">
        <f t="shared" si="101"/>
        <v>3.5121041764336614E-3</v>
      </c>
      <c r="AA848" s="36"/>
    </row>
    <row r="849" spans="4:27" ht="13.9" customHeight="1">
      <c r="D849" s="8"/>
      <c r="E849" s="9"/>
      <c r="F849" s="19"/>
      <c r="G849" s="19"/>
      <c r="H849" s="19"/>
      <c r="J849" s="45"/>
      <c r="K849" s="45"/>
      <c r="L849" s="45"/>
      <c r="M849" s="43"/>
      <c r="O849" s="12">
        <f t="shared" si="95"/>
        <v>69.666666666666671</v>
      </c>
      <c r="P849" s="13">
        <v>836</v>
      </c>
      <c r="Q849" s="22">
        <v>2.7284611227932354E-2</v>
      </c>
      <c r="R849" s="19">
        <f t="shared" si="96"/>
        <v>2.7903516759270275E-2</v>
      </c>
      <c r="S849" s="22">
        <v>3.7546306480480851E-2</v>
      </c>
      <c r="T849" s="19">
        <f t="shared" si="97"/>
        <v>4.2971510865448259E-2</v>
      </c>
      <c r="U849" s="24">
        <v>3.9325980653582615E-2</v>
      </c>
      <c r="V849" s="24">
        <f t="shared" si="98"/>
        <v>4.2968977289905119E-2</v>
      </c>
      <c r="W849" s="23">
        <f t="shared" si="99"/>
        <v>3.5120805830930468E-3</v>
      </c>
      <c r="X849" s="24">
        <v>3.8967337970840843E-2</v>
      </c>
      <c r="Y849" s="24">
        <f t="shared" si="100"/>
        <v>4.2969586094712797E-2</v>
      </c>
      <c r="Z849" s="23">
        <f t="shared" si="101"/>
        <v>3.5121294712578965E-3</v>
      </c>
      <c r="AA849" s="36"/>
    </row>
    <row r="850" spans="4:27" ht="13.9" customHeight="1">
      <c r="D850" s="8"/>
      <c r="E850" s="9"/>
      <c r="F850" s="19"/>
      <c r="G850" s="19"/>
      <c r="H850" s="19"/>
      <c r="J850" s="45"/>
      <c r="K850" s="45"/>
      <c r="L850" s="45"/>
      <c r="M850" s="43"/>
      <c r="O850" s="12">
        <f t="shared" si="95"/>
        <v>69.75</v>
      </c>
      <c r="P850" s="13">
        <v>837</v>
      </c>
      <c r="Q850" s="22">
        <v>2.7285350438677414E-2</v>
      </c>
      <c r="R850" s="19">
        <f t="shared" si="96"/>
        <v>2.7907153490321468E-2</v>
      </c>
      <c r="S850" s="22">
        <v>3.7552771339052216E-2</v>
      </c>
      <c r="T850" s="19">
        <f t="shared" si="97"/>
        <v>4.2971816215993996E-2</v>
      </c>
      <c r="U850" s="24">
        <v>3.9330325497653806E-2</v>
      </c>
      <c r="V850" s="24">
        <f t="shared" si="98"/>
        <v>4.2969287344237106E-2</v>
      </c>
      <c r="W850" s="23">
        <f t="shared" si="99"/>
        <v>3.5121056945410789E-3</v>
      </c>
      <c r="X850" s="24">
        <v>3.8972110454027042E-2</v>
      </c>
      <c r="Y850" s="24">
        <f t="shared" si="100"/>
        <v>4.2969895186394158E-2</v>
      </c>
      <c r="Z850" s="23">
        <f t="shared" si="101"/>
        <v>3.5121545089389361E-3</v>
      </c>
      <c r="AA850" s="36"/>
    </row>
    <row r="851" spans="4:27" ht="13.9" customHeight="1">
      <c r="D851" s="8"/>
      <c r="E851" s="9"/>
      <c r="F851" s="19"/>
      <c r="G851" s="19"/>
      <c r="H851" s="19"/>
      <c r="J851" s="45"/>
      <c r="K851" s="45"/>
      <c r="L851" s="45"/>
      <c r="M851" s="43"/>
      <c r="O851" s="12">
        <f t="shared" si="95"/>
        <v>69.833333333333329</v>
      </c>
      <c r="P851" s="13">
        <v>838</v>
      </c>
      <c r="Q851" s="22">
        <v>2.728609222288636E-2</v>
      </c>
      <c r="R851" s="19">
        <f t="shared" si="96"/>
        <v>2.7910759800861884E-2</v>
      </c>
      <c r="S851" s="22">
        <v>3.7559221170993862E-2</v>
      </c>
      <c r="T851" s="19">
        <f t="shared" si="97"/>
        <v>4.2972118292834205E-2</v>
      </c>
      <c r="U851" s="24">
        <v>3.9334660358971041E-2</v>
      </c>
      <c r="V851" s="24">
        <f t="shared" si="98"/>
        <v>4.296959429930447E-2</v>
      </c>
      <c r="W851" s="23">
        <f t="shared" si="99"/>
        <v>3.5121305549188353E-3</v>
      </c>
      <c r="X851" s="24">
        <v>3.8976871936314827E-2</v>
      </c>
      <c r="Y851" s="24">
        <f t="shared" si="100"/>
        <v>4.2970201136272701E-2</v>
      </c>
      <c r="Z851" s="23">
        <f t="shared" si="101"/>
        <v>3.5121792921173345E-3</v>
      </c>
      <c r="AA851" s="36"/>
    </row>
    <row r="852" spans="4:27" ht="13.9" customHeight="1">
      <c r="D852" s="8"/>
      <c r="E852" s="9"/>
      <c r="F852" s="19"/>
      <c r="G852" s="19"/>
      <c r="H852" s="19"/>
      <c r="J852" s="45"/>
      <c r="K852" s="45"/>
      <c r="L852" s="45"/>
      <c r="M852" s="43"/>
      <c r="O852" s="12">
        <f t="shared" si="95"/>
        <v>69.916666666666671</v>
      </c>
      <c r="P852" s="13">
        <v>839</v>
      </c>
      <c r="Q852" s="22">
        <v>2.7286836535113546E-2</v>
      </c>
      <c r="R852" s="19">
        <f t="shared" si="96"/>
        <v>2.7914335947220259E-2</v>
      </c>
      <c r="S852" s="22">
        <v>3.7565656026018246E-2</v>
      </c>
      <c r="T852" s="19">
        <f t="shared" si="97"/>
        <v>4.2972417131890817E-2</v>
      </c>
      <c r="U852" s="24">
        <v>3.9338985269488314E-2</v>
      </c>
      <c r="V852" s="24">
        <f t="shared" si="98"/>
        <v>4.2969898185693856E-2</v>
      </c>
      <c r="W852" s="23">
        <f t="shared" si="99"/>
        <v>3.5121551667887108E-3</v>
      </c>
      <c r="X852" s="24">
        <v>3.8981622453236664E-2</v>
      </c>
      <c r="Y852" s="24">
        <f t="shared" si="100"/>
        <v>4.2970503976022645E-2</v>
      </c>
      <c r="Z852" s="23">
        <f t="shared" si="101"/>
        <v>3.5122038233774688E-3</v>
      </c>
      <c r="AA852" s="36"/>
    </row>
    <row r="853" spans="4:27" ht="13.9" customHeight="1">
      <c r="D853" s="8"/>
      <c r="E853" s="9"/>
      <c r="F853" s="19"/>
      <c r="G853" s="19"/>
      <c r="H853" s="19"/>
      <c r="J853" s="45"/>
      <c r="K853" s="45"/>
      <c r="L853" s="45"/>
      <c r="M853" s="43"/>
      <c r="O853" s="12">
        <f t="shared" si="95"/>
        <v>70</v>
      </c>
      <c r="P853" s="13">
        <v>840</v>
      </c>
      <c r="Q853" s="22">
        <v>2.7287583330434906E-2</v>
      </c>
      <c r="R853" s="19">
        <f t="shared" si="96"/>
        <v>2.7917882183851495E-2</v>
      </c>
      <c r="S853" s="22">
        <v>3.757207595364398E-2</v>
      </c>
      <c r="T853" s="19">
        <f t="shared" si="97"/>
        <v>4.297271276687753E-2</v>
      </c>
      <c r="U853" s="24">
        <v>3.9343300261043934E-2</v>
      </c>
      <c r="V853" s="24">
        <f t="shared" si="98"/>
        <v>4.297019903429411E-2</v>
      </c>
      <c r="W853" s="23">
        <f t="shared" si="99"/>
        <v>3.5121795326031879E-3</v>
      </c>
      <c r="X853" s="24">
        <v>3.8986362040193567E-2</v>
      </c>
      <c r="Y853" s="24">
        <f t="shared" si="100"/>
        <v>4.2970803737304442E-2</v>
      </c>
      <c r="Z853" s="23">
        <f t="shared" si="101"/>
        <v>3.5122281052588633E-3</v>
      </c>
      <c r="AA853" s="36"/>
    </row>
    <row r="854" spans="4:27" ht="13.9" customHeight="1">
      <c r="D854" s="8"/>
      <c r="E854" s="9"/>
      <c r="F854" s="19"/>
      <c r="G854" s="19"/>
      <c r="H854" s="19"/>
      <c r="J854" s="45"/>
      <c r="K854" s="45"/>
      <c r="L854" s="45"/>
      <c r="M854" s="43"/>
      <c r="O854" s="12">
        <f t="shared" si="95"/>
        <v>70.083333333333329</v>
      </c>
      <c r="P854" s="13">
        <v>841</v>
      </c>
      <c r="Q854" s="22">
        <v>2.7288332564442408E-2</v>
      </c>
      <c r="R854" s="19">
        <f t="shared" si="96"/>
        <v>2.7921398762879912E-2</v>
      </c>
      <c r="S854" s="22">
        <v>3.7578481003194719E-2</v>
      </c>
      <c r="T854" s="19">
        <f t="shared" si="97"/>
        <v>4.2973005232907813E-2</v>
      </c>
      <c r="U854" s="24">
        <v>3.9347605365361638E-2</v>
      </c>
      <c r="V854" s="24">
        <f t="shared" si="98"/>
        <v>4.297049687549559E-2</v>
      </c>
      <c r="W854" s="23">
        <f t="shared" si="99"/>
        <v>3.5122036548393964E-3</v>
      </c>
      <c r="X854" s="24">
        <v>3.8991090732455991E-2</v>
      </c>
      <c r="Y854" s="24">
        <f t="shared" si="100"/>
        <v>4.2971100451729916E-2</v>
      </c>
      <c r="Z854" s="23">
        <f t="shared" si="101"/>
        <v>3.5122521403003759E-3</v>
      </c>
      <c r="AA854" s="36"/>
    </row>
    <row r="855" spans="4:27" ht="13.9" customHeight="1">
      <c r="D855" s="8"/>
      <c r="E855" s="9"/>
      <c r="F855" s="19"/>
      <c r="G855" s="19"/>
      <c r="H855" s="19"/>
      <c r="J855" s="45"/>
      <c r="K855" s="45"/>
      <c r="L855" s="45"/>
      <c r="M855" s="43"/>
      <c r="O855" s="12">
        <f t="shared" si="95"/>
        <v>70.166666666666671</v>
      </c>
      <c r="P855" s="13">
        <v>842</v>
      </c>
      <c r="Q855" s="22">
        <v>2.7289084193238722E-2</v>
      </c>
      <c r="R855" s="19">
        <f t="shared" si="96"/>
        <v>2.7924885933606314E-2</v>
      </c>
      <c r="S855" s="22">
        <v>3.758487122380183E-2</v>
      </c>
      <c r="T855" s="19">
        <f t="shared" si="97"/>
        <v>4.2973294563619868E-2</v>
      </c>
      <c r="U855" s="24">
        <v>3.9351900614050583E-2</v>
      </c>
      <c r="V855" s="24">
        <f t="shared" si="98"/>
        <v>4.2970791739328273E-2</v>
      </c>
      <c r="W855" s="23">
        <f t="shared" si="99"/>
        <v>3.5122275359340538E-3</v>
      </c>
      <c r="X855" s="24">
        <v>3.8995808565164491E-2</v>
      </c>
      <c r="Y855" s="24">
        <f t="shared" si="100"/>
        <v>4.2971394149802666E-2</v>
      </c>
      <c r="Z855" s="23">
        <f t="shared" si="101"/>
        <v>3.5122759310368679E-3</v>
      </c>
      <c r="AA855" s="36"/>
    </row>
    <row r="856" spans="4:27" ht="13.9" customHeight="1">
      <c r="D856" s="8"/>
      <c r="E856" s="9"/>
      <c r="F856" s="19"/>
      <c r="G856" s="19"/>
      <c r="H856" s="19"/>
      <c r="J856" s="45"/>
      <c r="K856" s="45"/>
      <c r="L856" s="45"/>
      <c r="M856" s="43"/>
      <c r="O856" s="12">
        <f t="shared" si="95"/>
        <v>70.25</v>
      </c>
      <c r="P856" s="13">
        <v>843</v>
      </c>
      <c r="Q856" s="22">
        <v>2.7289838173431002E-2</v>
      </c>
      <c r="R856" s="19">
        <f t="shared" si="96"/>
        <v>2.7928343944733758E-2</v>
      </c>
      <c r="S856" s="22">
        <v>3.7591246664403721E-2</v>
      </c>
      <c r="T856" s="19">
        <f t="shared" si="97"/>
        <v>4.2973580792821098E-2</v>
      </c>
      <c r="U856" s="24">
        <v>3.93561860386058E-2</v>
      </c>
      <c r="V856" s="24">
        <f t="shared" si="98"/>
        <v>4.2971083655471087E-2</v>
      </c>
      <c r="W856" s="23">
        <f t="shared" si="99"/>
        <v>3.5122511782954557E-3</v>
      </c>
      <c r="X856" s="24">
        <v>3.9000515573329286E-2</v>
      </c>
      <c r="Y856" s="24">
        <f t="shared" si="100"/>
        <v>4.2971684862772141E-2</v>
      </c>
      <c r="Z856" s="23">
        <f t="shared" si="101"/>
        <v>3.5122994799141605E-3</v>
      </c>
      <c r="AA856" s="36"/>
    </row>
    <row r="857" spans="4:27" ht="13.9" customHeight="1">
      <c r="D857" s="8"/>
      <c r="E857" s="9"/>
      <c r="F857" s="19"/>
      <c r="G857" s="19"/>
      <c r="H857" s="19"/>
      <c r="J857" s="45"/>
      <c r="K857" s="45"/>
      <c r="L857" s="45"/>
      <c r="M857" s="43"/>
      <c r="O857" s="12">
        <f t="shared" si="95"/>
        <v>70.333333333333329</v>
      </c>
      <c r="P857" s="13">
        <v>844</v>
      </c>
      <c r="Q857" s="22">
        <v>2.7290594462126228E-2</v>
      </c>
      <c r="R857" s="19">
        <f t="shared" si="96"/>
        <v>2.7931773041333985E-2</v>
      </c>
      <c r="S857" s="22">
        <v>3.7597607373747399E-2</v>
      </c>
      <c r="T857" s="19">
        <f t="shared" si="97"/>
        <v>4.297386395350089E-2</v>
      </c>
      <c r="U857" s="24">
        <v>3.9360461670408187E-2</v>
      </c>
      <c r="V857" s="24">
        <f t="shared" si="98"/>
        <v>4.2971372653479056E-2</v>
      </c>
      <c r="W857" s="23">
        <f t="shared" si="99"/>
        <v>3.5122745843030323E-3</v>
      </c>
      <c r="X857" s="24">
        <v>3.9005211791831584E-2</v>
      </c>
      <c r="Y857" s="24">
        <f t="shared" si="100"/>
        <v>4.2971972620657661E-2</v>
      </c>
      <c r="Z857" s="23">
        <f t="shared" si="101"/>
        <v>3.5123227894384712E-3</v>
      </c>
      <c r="AA857" s="36"/>
    </row>
    <row r="858" spans="4:27" ht="13.9" customHeight="1">
      <c r="D858" s="8"/>
      <c r="E858" s="9"/>
      <c r="F858" s="19"/>
      <c r="G858" s="19"/>
      <c r="H858" s="19"/>
      <c r="J858" s="45"/>
      <c r="K858" s="45"/>
      <c r="L858" s="45"/>
      <c r="M858" s="43"/>
      <c r="O858" s="12">
        <f t="shared" si="95"/>
        <v>70.416666666666671</v>
      </c>
      <c r="P858" s="13">
        <v>845</v>
      </c>
      <c r="Q858" s="22">
        <v>2.7291353016924758E-2</v>
      </c>
      <c r="R858" s="19">
        <f t="shared" si="96"/>
        <v>2.7935173467050989E-2</v>
      </c>
      <c r="S858" s="22">
        <v>3.7603953400388246E-2</v>
      </c>
      <c r="T858" s="19">
        <f t="shared" si="97"/>
        <v>4.2974144078707699E-2</v>
      </c>
      <c r="U858" s="24">
        <v>3.9364727540725175E-2</v>
      </c>
      <c r="V858" s="24">
        <f t="shared" si="98"/>
        <v>4.2971658762507081E-2</v>
      </c>
      <c r="W858" s="23">
        <f t="shared" si="99"/>
        <v>3.5122977563271096E-3</v>
      </c>
      <c r="X858" s="24">
        <v>3.9009897255423365E-2</v>
      </c>
      <c r="Y858" s="24">
        <f t="shared" si="100"/>
        <v>4.2972257453352425E-2</v>
      </c>
      <c r="Z858" s="23">
        <f t="shared" si="101"/>
        <v>3.5123458620165415E-3</v>
      </c>
      <c r="AA858" s="36"/>
    </row>
    <row r="859" spans="4:27" ht="13.9" customHeight="1">
      <c r="D859" s="8"/>
      <c r="E859" s="9"/>
      <c r="F859" s="19"/>
      <c r="G859" s="19"/>
      <c r="H859" s="19"/>
      <c r="J859" s="45"/>
      <c r="K859" s="45"/>
      <c r="L859" s="45"/>
      <c r="M859" s="43"/>
      <c r="O859" s="12">
        <f t="shared" si="95"/>
        <v>70.5</v>
      </c>
      <c r="P859" s="13">
        <v>846</v>
      </c>
      <c r="Q859" s="22">
        <v>2.7292113795915673E-2</v>
      </c>
      <c r="R859" s="19">
        <f t="shared" si="96"/>
        <v>2.7938545463736419E-2</v>
      </c>
      <c r="S859" s="22">
        <v>3.7610284792691795E-2</v>
      </c>
      <c r="T859" s="19">
        <f t="shared" si="97"/>
        <v>4.2974421201176227E-2</v>
      </c>
      <c r="U859" s="24">
        <v>3.9368983680711178E-2</v>
      </c>
      <c r="V859" s="24">
        <f t="shared" si="98"/>
        <v>4.297194201175869E-2</v>
      </c>
      <c r="W859" s="23">
        <f t="shared" si="99"/>
        <v>3.5123206967051512E-3</v>
      </c>
      <c r="X859" s="24">
        <v>3.9014571998727821E-2</v>
      </c>
      <c r="Y859" s="24">
        <f t="shared" si="100"/>
        <v>4.2972539391112008E-2</v>
      </c>
      <c r="Z859" s="23">
        <f t="shared" si="101"/>
        <v>3.512368700045565E-3</v>
      </c>
      <c r="AA859" s="36"/>
    </row>
    <row r="860" spans="4:27" ht="13.9" customHeight="1">
      <c r="D860" s="8"/>
      <c r="E860" s="9"/>
      <c r="F860" s="19"/>
      <c r="G860" s="19"/>
      <c r="H860" s="19"/>
      <c r="J860" s="45"/>
      <c r="K860" s="45"/>
      <c r="L860" s="45"/>
      <c r="M860" s="43"/>
      <c r="O860" s="12">
        <f t="shared" si="95"/>
        <v>70.583333333333329</v>
      </c>
      <c r="P860" s="13">
        <v>847</v>
      </c>
      <c r="Q860" s="22">
        <v>2.7292876757671225E-2</v>
      </c>
      <c r="R860" s="19">
        <f t="shared" si="96"/>
        <v>2.794188927010377E-2</v>
      </c>
      <c r="S860" s="22">
        <v>3.7616601598833954E-2</v>
      </c>
      <c r="T860" s="19">
        <f t="shared" si="97"/>
        <v>4.297469535274967E-2</v>
      </c>
      <c r="U860" s="24">
        <v>3.9373230121407587E-2</v>
      </c>
      <c r="V860" s="24">
        <f t="shared" si="98"/>
        <v>4.2972222429371376E-2</v>
      </c>
      <c r="W860" s="23">
        <f t="shared" si="99"/>
        <v>3.5123434077792837E-3</v>
      </c>
      <c r="X860" s="24">
        <v>3.9019236056240247E-2</v>
      </c>
      <c r="Y860" s="24">
        <f t="shared" si="100"/>
        <v>4.2972818462877926E-2</v>
      </c>
      <c r="Z860" s="23">
        <f t="shared" si="101"/>
        <v>3.5123913059513789E-3</v>
      </c>
      <c r="AA860" s="36"/>
    </row>
    <row r="861" spans="4:27" ht="13.9" customHeight="1">
      <c r="D861" s="8"/>
      <c r="E861" s="9"/>
      <c r="F861" s="19"/>
      <c r="G861" s="19"/>
      <c r="H861" s="19"/>
      <c r="J861" s="45"/>
      <c r="K861" s="45"/>
      <c r="L861" s="45"/>
      <c r="M861" s="43"/>
      <c r="O861" s="12">
        <f t="shared" si="95"/>
        <v>70.666666666666671</v>
      </c>
      <c r="P861" s="13">
        <v>848</v>
      </c>
      <c r="Q861" s="22">
        <v>2.7293641861240836E-2</v>
      </c>
      <c r="R861" s="19">
        <f t="shared" si="96"/>
        <v>2.7945205124304984E-2</v>
      </c>
      <c r="S861" s="22">
        <v>3.7622903866801227E-2</v>
      </c>
      <c r="T861" s="19">
        <f t="shared" si="97"/>
        <v>4.2974966565721306E-2</v>
      </c>
      <c r="U861" s="24">
        <v>3.9377466893742996E-2</v>
      </c>
      <c r="V861" s="24">
        <f t="shared" si="98"/>
        <v>4.297250004397668E-2</v>
      </c>
      <c r="W861" s="23">
        <f t="shared" si="99"/>
        <v>3.512365891805258E-3</v>
      </c>
      <c r="X861" s="24">
        <v>3.9023889462327821E-2</v>
      </c>
      <c r="Y861" s="24">
        <f t="shared" si="100"/>
        <v>4.2973094697980718E-2</v>
      </c>
      <c r="Z861" s="23">
        <f t="shared" si="101"/>
        <v>3.5124136820552376E-3</v>
      </c>
      <c r="AA861" s="36"/>
    </row>
    <row r="862" spans="4:27" ht="13.9" customHeight="1">
      <c r="D862" s="8"/>
      <c r="E862" s="9"/>
      <c r="F862" s="19"/>
      <c r="G862" s="19"/>
      <c r="H862" s="19"/>
      <c r="J862" s="45"/>
      <c r="K862" s="45"/>
      <c r="L862" s="45"/>
      <c r="M862" s="43"/>
      <c r="O862" s="12">
        <f t="shared" si="95"/>
        <v>70.75</v>
      </c>
      <c r="P862" s="13">
        <v>849</v>
      </c>
      <c r="Q862" s="22">
        <v>2.7294409066147773E-2</v>
      </c>
      <c r="R862" s="19">
        <f t="shared" si="96"/>
        <v>2.7948493261153562E-2</v>
      </c>
      <c r="S862" s="22">
        <v>3.762919164439249E-2</v>
      </c>
      <c r="T862" s="19">
        <f t="shared" si="97"/>
        <v>4.2975234871014623E-2</v>
      </c>
      <c r="U862" s="24">
        <v>3.9381694028534087E-2</v>
      </c>
      <c r="V862" s="24">
        <f t="shared" si="98"/>
        <v>4.2972774883072828E-2</v>
      </c>
      <c r="W862" s="23">
        <f t="shared" si="99"/>
        <v>3.5123881510794597E-3</v>
      </c>
      <c r="X862" s="24">
        <v>3.9028532251230041E-2</v>
      </c>
      <c r="Y862" s="24">
        <f t="shared" si="100"/>
        <v>4.2973368125273526E-2</v>
      </c>
      <c r="Z862" s="23">
        <f t="shared" si="101"/>
        <v>3.5124358307085934E-3</v>
      </c>
      <c r="AA862" s="36"/>
    </row>
    <row r="863" spans="4:27" ht="13.9" customHeight="1">
      <c r="D863" s="8"/>
      <c r="E863" s="9"/>
      <c r="F863" s="19"/>
      <c r="G863" s="19"/>
      <c r="H863" s="19"/>
      <c r="J863" s="45"/>
      <c r="K863" s="45"/>
      <c r="L863" s="45"/>
      <c r="M863" s="43"/>
      <c r="O863" s="12">
        <f t="shared" si="95"/>
        <v>70.833333333333329</v>
      </c>
      <c r="P863" s="13">
        <v>850</v>
      </c>
      <c r="Q863" s="22">
        <v>2.7295178332381376E-2</v>
      </c>
      <c r="R863" s="19">
        <f t="shared" si="96"/>
        <v>2.7951753914047917E-2</v>
      </c>
      <c r="S863" s="22">
        <v>3.7635464979218547E-2</v>
      </c>
      <c r="T863" s="19">
        <f t="shared" si="97"/>
        <v>4.2975500300520775E-2</v>
      </c>
      <c r="U863" s="24">
        <v>3.9385911556484965E-2</v>
      </c>
      <c r="V863" s="24">
        <f t="shared" si="98"/>
        <v>4.2973046975223417E-2</v>
      </c>
      <c r="W863" s="23">
        <f t="shared" si="99"/>
        <v>3.5124101878065694E-3</v>
      </c>
      <c r="X863" s="24">
        <v>3.9033164457059843E-2</v>
      </c>
      <c r="Y863" s="24">
        <f t="shared" si="100"/>
        <v>4.2973638773363687E-2</v>
      </c>
      <c r="Z863" s="23">
        <f t="shared" si="101"/>
        <v>3.5124577542251512E-3</v>
      </c>
      <c r="AA863" s="36"/>
    </row>
    <row r="864" spans="4:27" ht="13.9" customHeight="1">
      <c r="D864" s="8"/>
      <c r="E864" s="9"/>
      <c r="F864" s="19"/>
      <c r="G864" s="19"/>
      <c r="H864" s="19"/>
      <c r="J864" s="45"/>
      <c r="K864" s="45"/>
      <c r="L864" s="45"/>
      <c r="M864" s="43"/>
      <c r="O864" s="12">
        <f t="shared" si="95"/>
        <v>70.916666666666671</v>
      </c>
      <c r="P864" s="13">
        <v>851</v>
      </c>
      <c r="Q864" s="22">
        <v>2.7295949620393944E-2</v>
      </c>
      <c r="R864" s="19">
        <f t="shared" si="96"/>
        <v>2.7954987314573243E-2</v>
      </c>
      <c r="S864" s="22">
        <v>3.7641723918703907E-2</v>
      </c>
      <c r="T864" s="19">
        <f t="shared" si="97"/>
        <v>4.2975762884266189E-2</v>
      </c>
      <c r="U864" s="24">
        <v>3.9390119508188937E-2</v>
      </c>
      <c r="V864" s="24">
        <f t="shared" si="98"/>
        <v>4.2973316347568291E-2</v>
      </c>
      <c r="W864" s="23">
        <f t="shared" si="99"/>
        <v>3.5124320042769774E-3</v>
      </c>
      <c r="X864" s="24">
        <v>3.9037786113803374E-2</v>
      </c>
      <c r="Y864" s="24">
        <f t="shared" si="100"/>
        <v>4.2973906670258577E-2</v>
      </c>
      <c r="Z864" s="23">
        <f t="shared" si="101"/>
        <v>3.5124794548990756E-3</v>
      </c>
      <c r="AA864" s="36"/>
    </row>
    <row r="865" spans="4:27" ht="13.9" customHeight="1">
      <c r="D865" s="8"/>
      <c r="E865" s="9"/>
      <c r="F865" s="19"/>
      <c r="G865" s="19"/>
      <c r="H865" s="19"/>
      <c r="J865" s="45"/>
      <c r="K865" s="45"/>
      <c r="L865" s="45"/>
      <c r="M865" s="43"/>
      <c r="O865" s="12">
        <f t="shared" si="95"/>
        <v>71</v>
      </c>
      <c r="P865" s="13">
        <v>852</v>
      </c>
      <c r="Q865" s="22">
        <v>2.7296722891095193E-2</v>
      </c>
      <c r="R865" s="19">
        <f t="shared" si="96"/>
        <v>2.7958193691824951E-2</v>
      </c>
      <c r="S865" s="22">
        <v>3.7647968510086338E-2</v>
      </c>
      <c r="T865" s="19">
        <f t="shared" si="97"/>
        <v>4.2976022653743673E-2</v>
      </c>
      <c r="U865" s="24">
        <v>3.9394317914127841E-2</v>
      </c>
      <c r="V865" s="24">
        <f t="shared" si="98"/>
        <v>4.2973583026823192E-2</v>
      </c>
      <c r="W865" s="23">
        <f t="shared" si="99"/>
        <v>3.5124536026671649E-3</v>
      </c>
      <c r="X865" s="24">
        <v>3.9042397255319994E-2</v>
      </c>
      <c r="Y865" s="24">
        <f t="shared" si="100"/>
        <v>4.2974171844486264E-2</v>
      </c>
      <c r="Z865" s="23">
        <f t="shared" si="101"/>
        <v>3.5125009349756819E-3</v>
      </c>
      <c r="AA865" s="36"/>
    </row>
    <row r="866" spans="4:27" ht="13.9" customHeight="1">
      <c r="D866" s="8"/>
      <c r="E866" s="9"/>
      <c r="F866" s="19"/>
      <c r="G866" s="19"/>
      <c r="H866" s="19"/>
      <c r="J866" s="45"/>
      <c r="K866" s="45"/>
      <c r="L866" s="45"/>
      <c r="M866" s="43"/>
      <c r="O866" s="12">
        <f t="shared" si="95"/>
        <v>71.083333333333329</v>
      </c>
      <c r="P866" s="13">
        <v>853</v>
      </c>
      <c r="Q866" s="22">
        <v>2.7297498105846474E-2</v>
      </c>
      <c r="R866" s="19">
        <f t="shared" si="96"/>
        <v>2.796137327382664E-2</v>
      </c>
      <c r="S866" s="22">
        <v>3.7654198800419092E-2</v>
      </c>
      <c r="T866" s="19">
        <f t="shared" si="97"/>
        <v>4.2976279638167636E-2</v>
      </c>
      <c r="U866" s="24">
        <v>3.9398506804671829E-2</v>
      </c>
      <c r="V866" s="24">
        <f t="shared" si="98"/>
        <v>4.2973847040679747E-2</v>
      </c>
      <c r="W866" s="23">
        <f t="shared" si="99"/>
        <v>3.5124749851191961E-3</v>
      </c>
      <c r="X866" s="24">
        <v>3.9046997915344273E-2</v>
      </c>
      <c r="Y866" s="24">
        <f t="shared" si="100"/>
        <v>4.2974434323134636E-2</v>
      </c>
      <c r="Z866" s="23">
        <f t="shared" si="101"/>
        <v>3.5125221967429177E-3</v>
      </c>
      <c r="AA866" s="36"/>
    </row>
    <row r="867" spans="4:27" ht="13.9" customHeight="1">
      <c r="D867" s="8"/>
      <c r="E867" s="9"/>
      <c r="F867" s="19"/>
      <c r="G867" s="19"/>
      <c r="H867" s="19"/>
      <c r="J867" s="45"/>
      <c r="K867" s="45"/>
      <c r="L867" s="45"/>
      <c r="M867" s="43"/>
      <c r="O867" s="12">
        <f t="shared" si="95"/>
        <v>71.166666666666671</v>
      </c>
      <c r="P867" s="13">
        <v>854</v>
      </c>
      <c r="Q867" s="22">
        <v>2.7298275226457447E-2</v>
      </c>
      <c r="R867" s="19">
        <f t="shared" si="96"/>
        <v>2.7964526285165991E-2</v>
      </c>
      <c r="S867" s="22">
        <v>3.7660414836569567E-2</v>
      </c>
      <c r="T867" s="19">
        <f t="shared" si="97"/>
        <v>4.297653386799527E-2</v>
      </c>
      <c r="U867" s="24">
        <v>3.9402686210081361E-2</v>
      </c>
      <c r="V867" s="24">
        <f t="shared" si="98"/>
        <v>4.297410841536875E-2</v>
      </c>
      <c r="W867" s="23">
        <f t="shared" si="99"/>
        <v>3.5124961538535171E-3</v>
      </c>
      <c r="X867" s="24">
        <v>3.9051588127484438E-2</v>
      </c>
      <c r="Y867" s="24">
        <f t="shared" si="100"/>
        <v>4.2974694133796287E-2</v>
      </c>
      <c r="Z867" s="23">
        <f t="shared" si="101"/>
        <v>3.5125432423728231E-3</v>
      </c>
      <c r="AA867" s="36"/>
    </row>
    <row r="868" spans="4:27" ht="13.9" customHeight="1">
      <c r="D868" s="8"/>
      <c r="E868" s="9"/>
      <c r="F868" s="19"/>
      <c r="G868" s="19"/>
      <c r="H868" s="19"/>
      <c r="J868" s="45"/>
      <c r="K868" s="45"/>
      <c r="L868" s="45"/>
      <c r="M868" s="43"/>
      <c r="O868" s="12">
        <f t="shared" si="95"/>
        <v>71.25</v>
      </c>
      <c r="P868" s="13">
        <v>855</v>
      </c>
      <c r="Q868" s="22">
        <v>2.7299054215179197E-2</v>
      </c>
      <c r="R868" s="19">
        <f t="shared" si="96"/>
        <v>2.796765294979342E-2</v>
      </c>
      <c r="S868" s="22">
        <v>3.7666616665222197E-2</v>
      </c>
      <c r="T868" s="19">
        <f t="shared" si="97"/>
        <v>4.2976785372704551E-2</v>
      </c>
      <c r="U868" s="24">
        <v>3.9406856160506321E-2</v>
      </c>
      <c r="V868" s="24">
        <f t="shared" si="98"/>
        <v>4.2974367177419426E-2</v>
      </c>
      <c r="W868" s="23">
        <f t="shared" si="99"/>
        <v>3.5125171109733344E-3</v>
      </c>
      <c r="X868" s="24">
        <v>3.9056167925223928E-2</v>
      </c>
      <c r="Y868" s="24">
        <f t="shared" si="100"/>
        <v>4.2974951303490272E-2</v>
      </c>
      <c r="Z868" s="23">
        <f t="shared" si="101"/>
        <v>3.5125640740776287E-3</v>
      </c>
      <c r="AA868" s="36"/>
    </row>
    <row r="869" spans="4:27" ht="13.9" customHeight="1">
      <c r="D869" s="8"/>
      <c r="E869" s="9"/>
      <c r="F869" s="19"/>
      <c r="G869" s="19"/>
      <c r="H869" s="19"/>
      <c r="J869" s="45"/>
      <c r="K869" s="45"/>
      <c r="L869" s="45"/>
      <c r="M869" s="43"/>
      <c r="O869" s="12">
        <f t="shared" si="95"/>
        <v>71.333333333333329</v>
      </c>
      <c r="P869" s="13">
        <v>856</v>
      </c>
      <c r="Q869" s="22">
        <v>2.7299835034700681E-2</v>
      </c>
      <c r="R869" s="19">
        <f t="shared" si="96"/>
        <v>2.7970753489443112E-2</v>
      </c>
      <c r="S869" s="22">
        <v>3.7672804332877563E-2</v>
      </c>
      <c r="T869" s="19">
        <f t="shared" si="97"/>
        <v>4.2977034181191032E-2</v>
      </c>
      <c r="U869" s="24">
        <v>3.9411016685986455E-2</v>
      </c>
      <c r="V869" s="24">
        <f t="shared" si="98"/>
        <v>4.2974623352667995E-2</v>
      </c>
      <c r="W869" s="23">
        <f t="shared" si="99"/>
        <v>3.5125378586062794E-3</v>
      </c>
      <c r="X869" s="24">
        <v>3.9060737341921392E-2</v>
      </c>
      <c r="Y869" s="24">
        <f t="shared" si="100"/>
        <v>4.2975205859826948E-2</v>
      </c>
      <c r="Z869" s="23">
        <f t="shared" si="101"/>
        <v>3.5125846940242678E-3</v>
      </c>
      <c r="AA869" s="36"/>
    </row>
    <row r="870" spans="4:27" ht="13.9" customHeight="1">
      <c r="D870" s="8"/>
      <c r="E870" s="9"/>
      <c r="F870" s="19"/>
      <c r="G870" s="19"/>
      <c r="H870" s="19"/>
      <c r="J870" s="45"/>
      <c r="K870" s="45"/>
      <c r="L870" s="45"/>
      <c r="M870" s="43"/>
      <c r="O870" s="12">
        <f t="shared" si="95"/>
        <v>71.416666666666671</v>
      </c>
      <c r="P870" s="13">
        <v>857</v>
      </c>
      <c r="Q870" s="22">
        <v>2.7300617648143843E-2</v>
      </c>
      <c r="R870" s="19">
        <f t="shared" si="96"/>
        <v>2.7973828124028488E-2</v>
      </c>
      <c r="S870" s="22">
        <v>3.7678977885853726E-2</v>
      </c>
      <c r="T870" s="19">
        <f t="shared" si="97"/>
        <v>4.2977280322971101E-2</v>
      </c>
      <c r="U870" s="24">
        <v>3.9415167816451824E-2</v>
      </c>
      <c r="V870" s="24">
        <f t="shared" si="98"/>
        <v>4.2974876967357911E-2</v>
      </c>
      <c r="W870" s="23">
        <f t="shared" si="99"/>
        <v>3.5125583988238063E-3</v>
      </c>
      <c r="X870" s="24">
        <v>3.9065296410812023E-2</v>
      </c>
      <c r="Y870" s="24">
        <f t="shared" si="100"/>
        <v>4.2975457828418939E-2</v>
      </c>
      <c r="Z870" s="23">
        <f t="shared" si="101"/>
        <v>3.512605104426525E-3</v>
      </c>
      <c r="AA870" s="36"/>
    </row>
    <row r="871" spans="4:27" ht="13.9" customHeight="1">
      <c r="D871" s="8"/>
      <c r="E871" s="9"/>
      <c r="F871" s="19"/>
      <c r="G871" s="19"/>
      <c r="H871" s="19"/>
      <c r="J871" s="45"/>
      <c r="K871" s="45"/>
      <c r="L871" s="45"/>
      <c r="M871" s="43"/>
      <c r="O871" s="12">
        <f t="shared" si="95"/>
        <v>71.5</v>
      </c>
      <c r="P871" s="13">
        <v>858</v>
      </c>
      <c r="Q871" s="22">
        <v>2.7301402019058729E-2</v>
      </c>
      <c r="R871" s="19">
        <f t="shared" si="96"/>
        <v>2.7976877070976292E-2</v>
      </c>
      <c r="S871" s="22">
        <v>3.7685137370287114E-2</v>
      </c>
      <c r="T871" s="19">
        <f t="shared" si="97"/>
        <v>4.2977523825871833E-2</v>
      </c>
      <c r="U871" s="24">
        <v>3.9419309581723683E-2</v>
      </c>
      <c r="V871" s="24">
        <f t="shared" si="98"/>
        <v>4.2975128046983224E-2</v>
      </c>
      <c r="W871" s="23">
        <f t="shared" si="99"/>
        <v>3.5125787337304537E-3</v>
      </c>
      <c r="X871" s="24">
        <v>3.9069845165006445E-2</v>
      </c>
      <c r="Y871" s="24">
        <f t="shared" si="100"/>
        <v>4.2975707235714422E-2</v>
      </c>
      <c r="Z871" s="23">
        <f t="shared" si="101"/>
        <v>3.5126253073380909E-3</v>
      </c>
      <c r="AA871" s="36"/>
    </row>
    <row r="872" spans="4:27" ht="13.9" customHeight="1">
      <c r="D872" s="8"/>
      <c r="E872" s="9"/>
      <c r="F872" s="19"/>
      <c r="G872" s="19"/>
      <c r="H872" s="19"/>
      <c r="J872" s="45"/>
      <c r="K872" s="45"/>
      <c r="L872" s="45"/>
      <c r="M872" s="43"/>
      <c r="O872" s="12">
        <f t="shared" si="95"/>
        <v>71.583333333333329</v>
      </c>
      <c r="P872" s="13">
        <v>859</v>
      </c>
      <c r="Q872" s="22">
        <v>2.7302188111418602E-2</v>
      </c>
      <c r="R872" s="19">
        <f t="shared" si="96"/>
        <v>2.7979900546692082E-2</v>
      </c>
      <c r="S872" s="22">
        <v>3.76912828321323E-2</v>
      </c>
      <c r="T872" s="19">
        <f t="shared" si="97"/>
        <v>4.2977764718610922E-2</v>
      </c>
      <c r="U872" s="24">
        <v>3.9423442011513821E-2</v>
      </c>
      <c r="V872" s="24">
        <f t="shared" si="98"/>
        <v>4.2975376616841698E-2</v>
      </c>
      <c r="W872" s="23">
        <f t="shared" si="99"/>
        <v>3.5125988653701423E-3</v>
      </c>
      <c r="X872" s="24">
        <v>3.9074383637491605E-2</v>
      </c>
      <c r="Y872" s="24">
        <f t="shared" si="100"/>
        <v>4.2975954108428027E-2</v>
      </c>
      <c r="Z872" s="23">
        <f t="shared" si="101"/>
        <v>3.5126453048797135E-3</v>
      </c>
      <c r="AA872" s="36"/>
    </row>
    <row r="873" spans="4:27" ht="13.9" customHeight="1">
      <c r="D873" s="8"/>
      <c r="E873" s="9"/>
      <c r="F873" s="19"/>
      <c r="G873" s="19"/>
      <c r="H873" s="19"/>
      <c r="J873" s="45"/>
      <c r="K873" s="45"/>
      <c r="L873" s="45"/>
      <c r="M873" s="43"/>
      <c r="O873" s="12">
        <f t="shared" si="95"/>
        <v>71.666666666666671</v>
      </c>
      <c r="P873" s="13">
        <v>860</v>
      </c>
      <c r="Q873" s="22">
        <v>2.7302975889615722E-2</v>
      </c>
      <c r="R873" s="19">
        <f t="shared" si="96"/>
        <v>2.7982898765172459E-2</v>
      </c>
      <c r="S873" s="22">
        <v>3.769741431716378E-2</v>
      </c>
      <c r="T873" s="19">
        <f t="shared" si="97"/>
        <v>4.297800302936472E-2</v>
      </c>
      <c r="U873" s="24">
        <v>3.942756513542589E-2</v>
      </c>
      <c r="V873" s="24">
        <f t="shared" si="98"/>
        <v>4.297562270204458E-2</v>
      </c>
      <c r="W873" s="23">
        <f t="shared" si="99"/>
        <v>3.5126187957716937E-3</v>
      </c>
      <c r="X873" s="24">
        <v>3.9078911861132548E-2</v>
      </c>
      <c r="Y873" s="24">
        <f t="shared" si="100"/>
        <v>4.2976198471517346E-2</v>
      </c>
      <c r="Z873" s="23">
        <f t="shared" si="101"/>
        <v>3.5126650991936792E-3</v>
      </c>
      <c r="AA873" s="36"/>
    </row>
    <row r="874" spans="4:27" ht="13.9" customHeight="1">
      <c r="D874" s="8"/>
      <c r="E874" s="9"/>
      <c r="F874" s="19"/>
      <c r="G874" s="19"/>
      <c r="H874" s="19"/>
      <c r="J874" s="45"/>
      <c r="K874" s="45"/>
      <c r="L874" s="45"/>
      <c r="M874" s="43"/>
      <c r="O874" s="12">
        <f t="shared" si="95"/>
        <v>71.75</v>
      </c>
      <c r="P874" s="13">
        <v>861</v>
      </c>
      <c r="Q874" s="22">
        <v>2.7303765318456241E-2</v>
      </c>
      <c r="R874" s="19">
        <f t="shared" si="96"/>
        <v>2.7985871938887019E-2</v>
      </c>
      <c r="S874" s="22">
        <v>3.7703531870976414E-2</v>
      </c>
      <c r="T874" s="19">
        <f t="shared" si="97"/>
        <v>4.297823878528173E-2</v>
      </c>
      <c r="U874" s="24">
        <v>3.9431678982954743E-2</v>
      </c>
      <c r="V874" s="24">
        <f t="shared" si="98"/>
        <v>4.2975866327372048E-2</v>
      </c>
      <c r="W874" s="23">
        <f t="shared" si="99"/>
        <v>3.5126385269486082E-3</v>
      </c>
      <c r="X874" s="24">
        <v>3.9083429868670416E-2</v>
      </c>
      <c r="Y874" s="24">
        <f t="shared" si="100"/>
        <v>4.2976440350916745E-2</v>
      </c>
      <c r="Z874" s="23">
        <f t="shared" si="101"/>
        <v>3.512684692281054E-3</v>
      </c>
      <c r="AA874" s="36"/>
    </row>
    <row r="875" spans="4:27" ht="13.9" customHeight="1">
      <c r="D875" s="8"/>
      <c r="E875" s="9"/>
      <c r="F875" s="19"/>
      <c r="G875" s="19"/>
      <c r="H875" s="19"/>
      <c r="J875" s="45"/>
      <c r="K875" s="45"/>
      <c r="L875" s="45"/>
      <c r="M875" s="43"/>
      <c r="O875" s="12">
        <f t="shared" si="95"/>
        <v>71.833333333333329</v>
      </c>
      <c r="P875" s="13">
        <v>862</v>
      </c>
      <c r="Q875" s="22">
        <v>2.7304556363156207E-2</v>
      </c>
      <c r="R875" s="19">
        <f t="shared" si="96"/>
        <v>2.7988820278267212E-2</v>
      </c>
      <c r="S875" s="22">
        <v>3.7709635538985431E-2</v>
      </c>
      <c r="T875" s="19">
        <f t="shared" si="97"/>
        <v>4.297847201459204E-2</v>
      </c>
      <c r="U875" s="24">
        <v>3.943578358348776E-2</v>
      </c>
      <c r="V875" s="24">
        <f t="shared" si="98"/>
        <v>4.2976107517546325E-2</v>
      </c>
      <c r="W875" s="23">
        <f t="shared" si="99"/>
        <v>3.5126580608879632E-3</v>
      </c>
      <c r="X875" s="24">
        <v>3.9087937692725117E-2</v>
      </c>
      <c r="Y875" s="24">
        <f t="shared" si="100"/>
        <v>4.2976679772392279E-2</v>
      </c>
      <c r="Z875" s="23">
        <f t="shared" si="101"/>
        <v>3.5127040862215075E-3</v>
      </c>
      <c r="AA875" s="36"/>
    </row>
    <row r="876" spans="4:27" ht="13.9" customHeight="1">
      <c r="D876" s="8"/>
      <c r="E876" s="9"/>
      <c r="F876" s="19"/>
      <c r="G876" s="19"/>
      <c r="H876" s="19"/>
      <c r="J876" s="45"/>
      <c r="K876" s="45"/>
      <c r="L876" s="45"/>
      <c r="M876" s="43"/>
      <c r="O876" s="12">
        <f t="shared" si="95"/>
        <v>71.916666666666671</v>
      </c>
      <c r="P876" s="13">
        <v>863</v>
      </c>
      <c r="Q876" s="22">
        <v>2.7305348989336897E-2</v>
      </c>
      <c r="R876" s="19">
        <f t="shared" si="96"/>
        <v>2.7991743992291207E-2</v>
      </c>
      <c r="S876" s="22">
        <v>3.7715725366428421E-2</v>
      </c>
      <c r="T876" s="19">
        <f t="shared" si="97"/>
        <v>4.297870274315807E-2</v>
      </c>
      <c r="U876" s="24">
        <v>3.9439878966304409E-2</v>
      </c>
      <c r="V876" s="24">
        <f t="shared" si="98"/>
        <v>4.2976346296722312E-2</v>
      </c>
      <c r="W876" s="23">
        <f t="shared" si="99"/>
        <v>3.5126773995717286E-3</v>
      </c>
      <c r="X876" s="24">
        <v>3.9092435365794875E-2</v>
      </c>
      <c r="Y876" s="24">
        <f t="shared" si="100"/>
        <v>4.2976916759557726E-2</v>
      </c>
      <c r="Z876" s="23">
        <f t="shared" si="101"/>
        <v>3.512723283081165E-3</v>
      </c>
      <c r="AA876" s="36"/>
    </row>
    <row r="877" spans="4:27" ht="13.9" customHeight="1">
      <c r="D877" s="8"/>
      <c r="E877" s="9"/>
      <c r="F877" s="19"/>
      <c r="G877" s="19"/>
      <c r="H877" s="19"/>
      <c r="J877" s="45"/>
      <c r="K877" s="45"/>
      <c r="L877" s="45"/>
      <c r="M877" s="43"/>
      <c r="O877" s="12">
        <f t="shared" si="95"/>
        <v>72</v>
      </c>
      <c r="P877" s="13">
        <v>864</v>
      </c>
      <c r="Q877" s="22">
        <v>2.730614316302038E-2</v>
      </c>
      <c r="R877" s="19">
        <f t="shared" si="96"/>
        <v>2.7994643287569287E-2</v>
      </c>
      <c r="S877" s="22">
        <v>3.7721801398364008E-2</v>
      </c>
      <c r="T877" s="19">
        <f t="shared" si="97"/>
        <v>4.297893099914063E-2</v>
      </c>
      <c r="U877" s="24">
        <v>3.944396516057691E-2</v>
      </c>
      <c r="V877" s="24">
        <f t="shared" si="98"/>
        <v>4.2976582689514542E-2</v>
      </c>
      <c r="W877" s="23">
        <f t="shared" si="99"/>
        <v>3.5126965449372438E-3</v>
      </c>
      <c r="X877" s="24">
        <v>3.909692292025535E-2</v>
      </c>
      <c r="Y877" s="24">
        <f t="shared" si="100"/>
        <v>4.2977151338295716E-2</v>
      </c>
      <c r="Z877" s="23">
        <f t="shared" si="101"/>
        <v>3.5127422847534007E-3</v>
      </c>
      <c r="AA877" s="36"/>
    </row>
    <row r="878" spans="4:27" ht="13.9" customHeight="1">
      <c r="D878" s="8"/>
      <c r="E878" s="9"/>
      <c r="F878" s="19"/>
      <c r="G878" s="19"/>
      <c r="H878" s="19"/>
      <c r="J878" s="45"/>
      <c r="K878" s="45"/>
      <c r="L878" s="45"/>
      <c r="M878" s="43"/>
      <c r="O878" s="12">
        <f t="shared" si="95"/>
        <v>72.083333333333329</v>
      </c>
      <c r="P878" s="13">
        <v>865</v>
      </c>
      <c r="Q878" s="22">
        <v>2.7306938850624851E-2</v>
      </c>
      <c r="R878" s="19">
        <f t="shared" si="96"/>
        <v>2.799751836958575E-2</v>
      </c>
      <c r="S878" s="22">
        <v>3.7727863679675178E-2</v>
      </c>
      <c r="T878" s="19">
        <f t="shared" si="97"/>
        <v>4.2979156808033769E-2</v>
      </c>
      <c r="U878" s="24">
        <v>3.9448042195371125E-2</v>
      </c>
      <c r="V878" s="24">
        <f t="shared" si="98"/>
        <v>4.2976816719001443E-2</v>
      </c>
      <c r="W878" s="23">
        <f t="shared" si="99"/>
        <v>3.5127154989580411E-3</v>
      </c>
      <c r="X878" s="24">
        <v>3.9101400388362295E-2</v>
      </c>
      <c r="Y878" s="24">
        <f t="shared" si="100"/>
        <v>4.2977383532954105E-2</v>
      </c>
      <c r="Z878" s="23">
        <f t="shared" si="101"/>
        <v>3.5127610933134434E-3</v>
      </c>
      <c r="AA878" s="36"/>
    </row>
    <row r="879" spans="4:27" ht="13.9" customHeight="1">
      <c r="D879" s="8"/>
      <c r="E879" s="9"/>
      <c r="F879" s="19"/>
      <c r="G879" s="19"/>
      <c r="H879" s="19"/>
      <c r="J879" s="45"/>
      <c r="K879" s="45"/>
      <c r="L879" s="45"/>
      <c r="M879" s="43"/>
      <c r="O879" s="12">
        <f t="shared" si="95"/>
        <v>72.166666666666671</v>
      </c>
      <c r="P879" s="13">
        <v>866</v>
      </c>
      <c r="Q879" s="22">
        <v>2.730773601896086E-2</v>
      </c>
      <c r="R879" s="19">
        <f t="shared" si="96"/>
        <v>2.8000369442092055E-2</v>
      </c>
      <c r="S879" s="22">
        <v>3.7733912255067281E-2</v>
      </c>
      <c r="T879" s="19">
        <f t="shared" si="97"/>
        <v>4.2979380196600081E-2</v>
      </c>
      <c r="U879" s="24">
        <v>3.9452110099645221E-2</v>
      </c>
      <c r="V879" s="24">
        <f t="shared" si="98"/>
        <v>4.2977048409339247E-2</v>
      </c>
      <c r="W879" s="23">
        <f t="shared" si="99"/>
        <v>3.5127342634846404E-3</v>
      </c>
      <c r="X879" s="24">
        <v>3.9105867802250671E-2</v>
      </c>
      <c r="Y879" s="24">
        <f t="shared" si="100"/>
        <v>4.2977613367485512E-2</v>
      </c>
      <c r="Z879" s="23">
        <f t="shared" si="101"/>
        <v>3.5127797107137315E-3</v>
      </c>
      <c r="AA879" s="36"/>
    </row>
    <row r="880" spans="4:27" ht="13.9" customHeight="1">
      <c r="D880" s="8"/>
      <c r="E880" s="9"/>
      <c r="F880" s="19"/>
      <c r="G880" s="19"/>
      <c r="H880" s="19"/>
      <c r="J880" s="45"/>
      <c r="K880" s="45"/>
      <c r="L880" s="45"/>
      <c r="M880" s="43"/>
      <c r="O880" s="12">
        <f t="shared" si="95"/>
        <v>72.25</v>
      </c>
      <c r="P880" s="13">
        <v>867</v>
      </c>
      <c r="Q880" s="22">
        <v>2.7308534635227089E-2</v>
      </c>
      <c r="R880" s="19">
        <f t="shared" si="96"/>
        <v>2.8003196706088529E-2</v>
      </c>
      <c r="S880" s="22">
        <v>3.773994716907092E-2</v>
      </c>
      <c r="T880" s="19">
        <f t="shared" si="97"/>
        <v>4.2979601190430206E-2</v>
      </c>
      <c r="U880" s="24">
        <v>3.945616890225212E-2</v>
      </c>
      <c r="V880" s="24">
        <f t="shared" si="98"/>
        <v>4.2977277783970536E-2</v>
      </c>
      <c r="W880" s="23">
        <f t="shared" si="99"/>
        <v>3.5127528404539365E-3</v>
      </c>
      <c r="X880" s="24">
        <v>3.9110325193935314E-2</v>
      </c>
      <c r="Y880" s="24">
        <f t="shared" si="100"/>
        <v>4.2977840866025518E-2</v>
      </c>
      <c r="Z880" s="23">
        <f t="shared" si="101"/>
        <v>3.5127981388751728E-3</v>
      </c>
      <c r="AA880" s="36"/>
    </row>
    <row r="881" spans="4:27" ht="13.9" customHeight="1">
      <c r="D881" s="8"/>
      <c r="E881" s="9"/>
      <c r="F881" s="19"/>
      <c r="G881" s="19"/>
      <c r="H881" s="19"/>
      <c r="J881" s="45"/>
      <c r="K881" s="45"/>
      <c r="L881" s="45"/>
      <c r="M881" s="43"/>
      <c r="O881" s="12">
        <f t="shared" si="95"/>
        <v>72.333333333333329</v>
      </c>
      <c r="P881" s="13">
        <v>868</v>
      </c>
      <c r="Q881" s="22">
        <v>2.7309334667005025E-2</v>
      </c>
      <c r="R881" s="19">
        <f t="shared" si="96"/>
        <v>2.8006000362502448E-2</v>
      </c>
      <c r="S881" s="22">
        <v>3.7745968466041058E-2</v>
      </c>
      <c r="T881" s="19">
        <f t="shared" si="97"/>
        <v>4.2979819815677001E-2</v>
      </c>
      <c r="U881" s="24">
        <v>3.9460218631938604E-2</v>
      </c>
      <c r="V881" s="24">
        <f t="shared" si="98"/>
        <v>4.2977504865624683E-2</v>
      </c>
      <c r="W881" s="23">
        <f t="shared" si="99"/>
        <v>3.5127712317459814E-3</v>
      </c>
      <c r="X881" s="24">
        <v>3.9114772595311154E-2</v>
      </c>
      <c r="Y881" s="24">
        <f t="shared" si="100"/>
        <v>4.2978066052096642E-2</v>
      </c>
      <c r="Z881" s="23">
        <f t="shared" si="101"/>
        <v>3.512816379732886E-3</v>
      </c>
      <c r="AA881" s="36"/>
    </row>
    <row r="882" spans="4:27" ht="13.9" customHeight="1">
      <c r="D882" s="8"/>
      <c r="E882" s="9"/>
      <c r="F882" s="19"/>
      <c r="G882" s="19"/>
      <c r="H882" s="19"/>
      <c r="J882" s="45"/>
      <c r="K882" s="45"/>
      <c r="L882" s="45"/>
      <c r="M882" s="43"/>
      <c r="O882" s="12">
        <f t="shared" si="95"/>
        <v>72.416666666666671</v>
      </c>
      <c r="P882" s="13">
        <v>869</v>
      </c>
      <c r="Q882" s="22">
        <v>2.7310136082256298E-2</v>
      </c>
      <c r="R882" s="19">
        <f t="shared" si="96"/>
        <v>2.8008780608597794E-2</v>
      </c>
      <c r="S882" s="22">
        <v>3.775197619015902E-2</v>
      </c>
      <c r="T882" s="19">
        <f t="shared" si="97"/>
        <v>4.2980036097461038E-2</v>
      </c>
      <c r="U882" s="24">
        <v>3.9464259317345318E-2</v>
      </c>
      <c r="V882" s="24">
        <f t="shared" si="98"/>
        <v>4.29777296777345E-2</v>
      </c>
      <c r="W882" s="23">
        <f t="shared" si="99"/>
        <v>3.5127894391828729E-3</v>
      </c>
      <c r="X882" s="24">
        <v>3.911921003815344E-2</v>
      </c>
      <c r="Y882" s="24">
        <f t="shared" si="100"/>
        <v>4.2978288949660381E-2</v>
      </c>
      <c r="Z882" s="23">
        <f t="shared" si="101"/>
        <v>3.5128344351726959E-3</v>
      </c>
      <c r="AA882" s="36"/>
    </row>
    <row r="883" spans="4:27" ht="13.9" customHeight="1">
      <c r="D883" s="8"/>
      <c r="E883" s="9"/>
      <c r="F883" s="19"/>
      <c r="G883" s="19"/>
      <c r="H883" s="19"/>
      <c r="J883" s="45"/>
      <c r="K883" s="45"/>
      <c r="L883" s="45"/>
      <c r="M883" s="43"/>
      <c r="O883" s="12">
        <f t="shared" si="95"/>
        <v>72.5</v>
      </c>
      <c r="P883" s="13">
        <v>870</v>
      </c>
      <c r="Q883" s="22">
        <v>2.7310938849316901E-2</v>
      </c>
      <c r="R883" s="19">
        <f t="shared" si="96"/>
        <v>2.8011537642547157E-2</v>
      </c>
      <c r="S883" s="22">
        <v>3.7757970385432049E-2</v>
      </c>
      <c r="T883" s="19">
        <f t="shared" si="97"/>
        <v>4.2980250060724146E-2</v>
      </c>
      <c r="U883" s="24">
        <v>3.9468290987008547E-2</v>
      </c>
      <c r="V883" s="24">
        <f t="shared" si="98"/>
        <v>4.297795224253087E-2</v>
      </c>
      <c r="W883" s="23">
        <f t="shared" si="99"/>
        <v>3.5128074646439966E-3</v>
      </c>
      <c r="X883" s="24">
        <v>3.9123637554119517E-2</v>
      </c>
      <c r="Y883" s="24">
        <f t="shared" si="100"/>
        <v>4.2978509581742097E-2</v>
      </c>
      <c r="Z883" s="23">
        <f t="shared" si="101"/>
        <v>3.5128523071166207E-3</v>
      </c>
      <c r="AA883" s="36"/>
    </row>
    <row r="884" spans="4:27" ht="13.9" customHeight="1">
      <c r="D884" s="8"/>
      <c r="E884" s="9"/>
      <c r="F884" s="19"/>
      <c r="G884" s="19"/>
      <c r="H884" s="19"/>
      <c r="J884" s="45"/>
      <c r="K884" s="45"/>
      <c r="L884" s="45"/>
      <c r="M884" s="43"/>
      <c r="O884" s="12">
        <f t="shared" si="95"/>
        <v>72.583333333333329</v>
      </c>
      <c r="P884" s="13">
        <v>871</v>
      </c>
      <c r="Q884" s="22">
        <v>2.7311742936895422E-2</v>
      </c>
      <c r="R884" s="19">
        <f t="shared" si="96"/>
        <v>2.8014271657647027E-2</v>
      </c>
      <c r="S884" s="22">
        <v>3.7763951095694415E-2</v>
      </c>
      <c r="T884" s="19">
        <f t="shared" si="97"/>
        <v>4.298046173074721E-2</v>
      </c>
      <c r="U884" s="24">
        <v>3.9472313669359105E-2</v>
      </c>
      <c r="V884" s="24">
        <f t="shared" si="98"/>
        <v>4.2978172582845309E-2</v>
      </c>
      <c r="W884" s="23">
        <f t="shared" si="99"/>
        <v>3.5128253099117046E-3</v>
      </c>
      <c r="X884" s="24">
        <v>3.9128055174747267E-2</v>
      </c>
      <c r="Y884" s="24">
        <f t="shared" si="100"/>
        <v>4.297872797105895E-2</v>
      </c>
      <c r="Z884" s="23">
        <f t="shared" si="101"/>
        <v>3.512869997410295E-3</v>
      </c>
      <c r="AA884" s="36"/>
    </row>
    <row r="885" spans="4:27" ht="13.9" customHeight="1">
      <c r="D885" s="8"/>
      <c r="E885" s="9"/>
      <c r="F885" s="19"/>
      <c r="G885" s="19"/>
      <c r="H885" s="19"/>
      <c r="J885" s="45"/>
      <c r="K885" s="45"/>
      <c r="L885" s="45"/>
      <c r="M885" s="43"/>
      <c r="O885" s="12">
        <f t="shared" si="95"/>
        <v>72.666666666666671</v>
      </c>
      <c r="P885" s="13">
        <v>872</v>
      </c>
      <c r="Q885" s="22">
        <v>2.7312548314066154E-2</v>
      </c>
      <c r="R885" s="19">
        <f t="shared" si="96"/>
        <v>2.8016982848232397E-2</v>
      </c>
      <c r="S885" s="22">
        <v>3.7769918364608746E-2</v>
      </c>
      <c r="T885" s="19">
        <f t="shared" si="97"/>
        <v>4.2980671131761738E-2</v>
      </c>
      <c r="U885" s="24">
        <v>3.9476327392723443E-2</v>
      </c>
      <c r="V885" s="24">
        <f t="shared" si="98"/>
        <v>4.2978390720790127E-2</v>
      </c>
      <c r="W885" s="23">
        <f t="shared" si="99"/>
        <v>3.5128429768167546E-3</v>
      </c>
      <c r="X885" s="24">
        <v>3.9132462931456669E-2</v>
      </c>
      <c r="Y885" s="24">
        <f t="shared" si="100"/>
        <v>4.2978944141031095E-2</v>
      </c>
      <c r="Z885" s="23">
        <f t="shared" si="101"/>
        <v>3.5128875078758171E-3</v>
      </c>
      <c r="AA885" s="36"/>
    </row>
    <row r="886" spans="4:27" ht="13.9" customHeight="1">
      <c r="D886" s="8"/>
      <c r="E886" s="9"/>
      <c r="F886" s="19"/>
      <c r="G886" s="19"/>
      <c r="H886" s="19"/>
      <c r="J886" s="45"/>
      <c r="K886" s="45"/>
      <c r="L886" s="45"/>
      <c r="M886" s="43"/>
      <c r="O886" s="12">
        <f t="shared" si="95"/>
        <v>72.75</v>
      </c>
      <c r="P886" s="13">
        <v>873</v>
      </c>
      <c r="Q886" s="22">
        <v>2.7313354950267099E-2</v>
      </c>
      <c r="R886" s="19">
        <f t="shared" si="96"/>
        <v>2.8019671405614899E-2</v>
      </c>
      <c r="S886" s="22">
        <v>3.7775872235665142E-2</v>
      </c>
      <c r="T886" s="19">
        <f t="shared" si="97"/>
        <v>4.2980878288238822E-2</v>
      </c>
      <c r="U886" s="24">
        <v>3.9480332185323874E-2</v>
      </c>
      <c r="V886" s="24">
        <f t="shared" si="98"/>
        <v>4.2978606678335085E-2</v>
      </c>
      <c r="W886" s="23">
        <f t="shared" si="99"/>
        <v>3.5128604671323949E-3</v>
      </c>
      <c r="X886" s="24">
        <v>3.9136860855550237E-2</v>
      </c>
      <c r="Y886" s="24">
        <f t="shared" si="100"/>
        <v>4.2979158114020199E-2</v>
      </c>
      <c r="Z886" s="23">
        <f t="shared" si="101"/>
        <v>3.5129048403905738E-3</v>
      </c>
      <c r="AA886" s="36"/>
    </row>
    <row r="887" spans="4:27" ht="13.9" customHeight="1">
      <c r="D887" s="8"/>
      <c r="E887" s="9"/>
      <c r="F887" s="19"/>
      <c r="G887" s="19"/>
      <c r="H887" s="19"/>
      <c r="J887" s="45"/>
      <c r="K887" s="45"/>
      <c r="L887" s="45"/>
      <c r="M887" s="43"/>
      <c r="O887" s="12">
        <f t="shared" si="95"/>
        <v>72.833333333333329</v>
      </c>
      <c r="P887" s="13">
        <v>874</v>
      </c>
      <c r="Q887" s="22">
        <v>2.7314162815295306E-2</v>
      </c>
      <c r="R887" s="19">
        <f t="shared" si="96"/>
        <v>2.8022337520214657E-2</v>
      </c>
      <c r="S887" s="22">
        <v>3.7781812752183619E-2</v>
      </c>
      <c r="T887" s="19">
        <f t="shared" si="97"/>
        <v>4.298108322415306E-2</v>
      </c>
      <c r="U887" s="24">
        <v>3.9484328075278796E-2</v>
      </c>
      <c r="V887" s="24">
        <f t="shared" si="98"/>
        <v>4.2978820477191038E-2</v>
      </c>
      <c r="W887" s="23">
        <f t="shared" si="99"/>
        <v>3.5128777826201052E-3</v>
      </c>
      <c r="X887" s="24">
        <v>3.914124897821325E-2</v>
      </c>
      <c r="Y887" s="24">
        <f t="shared" si="100"/>
        <v>4.2979369911761101E-2</v>
      </c>
      <c r="Z887" s="23">
        <f t="shared" si="101"/>
        <v>3.5129219967482417E-3</v>
      </c>
      <c r="AA887" s="36"/>
    </row>
    <row r="888" spans="4:27" ht="13.9" customHeight="1">
      <c r="D888" s="8"/>
      <c r="E888" s="9"/>
      <c r="F888" s="19"/>
      <c r="G888" s="19"/>
      <c r="H888" s="19"/>
      <c r="J888" s="45"/>
      <c r="K888" s="45"/>
      <c r="L888" s="45"/>
      <c r="M888" s="43"/>
      <c r="O888" s="12">
        <f t="shared" si="95"/>
        <v>72.916666666666671</v>
      </c>
      <c r="P888" s="13">
        <v>875</v>
      </c>
      <c r="Q888" s="22">
        <v>2.731497187930354E-2</v>
      </c>
      <c r="R888" s="19">
        <f t="shared" si="96"/>
        <v>2.8024981379966896E-2</v>
      </c>
      <c r="S888" s="22">
        <v>3.778773995731366E-2</v>
      </c>
      <c r="T888" s="19">
        <f t="shared" si="97"/>
        <v>4.2981285963600957E-2</v>
      </c>
      <c r="U888" s="24">
        <v>3.948831509060291E-2</v>
      </c>
      <c r="V888" s="24">
        <f t="shared" si="98"/>
        <v>4.2979032139222051E-2</v>
      </c>
      <c r="W888" s="23">
        <f t="shared" si="99"/>
        <v>3.5128949250207153E-3</v>
      </c>
      <c r="X888" s="24">
        <v>3.9145627330513522E-2</v>
      </c>
      <c r="Y888" s="24">
        <f t="shared" si="100"/>
        <v>4.2979579557225867E-2</v>
      </c>
      <c r="Z888" s="23">
        <f t="shared" si="101"/>
        <v>3.5129389786909826E-3</v>
      </c>
      <c r="AA888" s="36"/>
    </row>
    <row r="889" spans="4:27" ht="13.9" customHeight="1">
      <c r="D889" s="8"/>
      <c r="E889" s="9"/>
      <c r="F889" s="19"/>
      <c r="G889" s="19"/>
      <c r="H889" s="19"/>
      <c r="J889" s="45"/>
      <c r="K889" s="45"/>
      <c r="L889" s="45"/>
      <c r="M889" s="43"/>
      <c r="O889" s="12">
        <f t="shared" si="95"/>
        <v>73</v>
      </c>
      <c r="P889" s="13">
        <v>876</v>
      </c>
      <c r="Q889" s="22">
        <v>2.7315782112795173E-2</v>
      </c>
      <c r="R889" s="19">
        <f t="shared" si="96"/>
        <v>2.8027603171964843E-2</v>
      </c>
      <c r="S889" s="22">
        <v>3.7793653894035328E-2</v>
      </c>
      <c r="T889" s="19">
        <f t="shared" si="97"/>
        <v>4.2981486529852786E-2</v>
      </c>
      <c r="U889" s="24">
        <v>3.9492293259207889E-2</v>
      </c>
      <c r="V889" s="24">
        <f t="shared" si="98"/>
        <v>4.2979241685392466E-2</v>
      </c>
      <c r="W889" s="23">
        <f t="shared" si="99"/>
        <v>3.5129118960872674E-3</v>
      </c>
      <c r="X889" s="24">
        <v>3.914999594340296E-2</v>
      </c>
      <c r="Y889" s="24">
        <f t="shared" si="100"/>
        <v>4.2979787071772746E-2</v>
      </c>
      <c r="Z889" s="23">
        <f t="shared" si="101"/>
        <v>3.5129557880613227E-3</v>
      </c>
      <c r="AA889" s="36"/>
    </row>
    <row r="890" spans="4:27" ht="13.9" customHeight="1">
      <c r="D890" s="8"/>
      <c r="E890" s="9"/>
      <c r="F890" s="19"/>
      <c r="G890" s="19"/>
      <c r="H890" s="19"/>
      <c r="J890" s="45"/>
      <c r="K890" s="45"/>
      <c r="L890" s="45"/>
      <c r="M890" s="43"/>
      <c r="O890" s="12">
        <f t="shared" si="95"/>
        <v>73.083333333333329</v>
      </c>
      <c r="P890" s="13">
        <v>877</v>
      </c>
      <c r="Q890" s="22">
        <v>2.7316593486621521E-2</v>
      </c>
      <c r="R890" s="19">
        <f t="shared" si="96"/>
        <v>2.8030203081459426E-2</v>
      </c>
      <c r="S890" s="22">
        <v>3.7799554605159713E-2</v>
      </c>
      <c r="T890" s="19">
        <f t="shared" si="97"/>
        <v>4.2981684946205245E-2</v>
      </c>
      <c r="U890" s="24">
        <v>3.9496262608902599E-2</v>
      </c>
      <c r="V890" s="24">
        <f t="shared" si="98"/>
        <v>4.2979449137638515E-2</v>
      </c>
      <c r="W890" s="23">
        <f t="shared" si="99"/>
        <v>3.5129286975010832E-3</v>
      </c>
      <c r="X890" s="24">
        <v>3.9154354847717121E-2</v>
      </c>
      <c r="Y890" s="24">
        <f t="shared" si="100"/>
        <v>4.2979992477485407E-2</v>
      </c>
      <c r="Z890" s="23">
        <f t="shared" si="101"/>
        <v>3.51297242657167E-3</v>
      </c>
      <c r="AA890" s="36"/>
    </row>
    <row r="891" spans="4:27" ht="13.9" customHeight="1">
      <c r="D891" s="8"/>
      <c r="E891" s="9"/>
      <c r="F891" s="19"/>
      <c r="G891" s="19"/>
      <c r="H891" s="19"/>
      <c r="J891" s="45"/>
      <c r="K891" s="45"/>
      <c r="L891" s="45"/>
      <c r="M891" s="43"/>
      <c r="O891" s="12">
        <f t="shared" si="95"/>
        <v>73.166666666666671</v>
      </c>
      <c r="P891" s="13">
        <v>878</v>
      </c>
      <c r="Q891" s="22">
        <v>2.7317405971977626E-2</v>
      </c>
      <c r="R891" s="19">
        <f t="shared" si="96"/>
        <v>2.8032781291887465E-2</v>
      </c>
      <c r="S891" s="22">
        <v>3.7805442133329814E-2</v>
      </c>
      <c r="T891" s="19">
        <f t="shared" si="97"/>
        <v>4.2981881235545361E-2</v>
      </c>
      <c r="U891" s="24">
        <v>3.9500223167393766E-2</v>
      </c>
      <c r="V891" s="24">
        <f t="shared" si="98"/>
        <v>4.2979654515786114E-2</v>
      </c>
      <c r="W891" s="23">
        <f t="shared" si="99"/>
        <v>3.5129453310212E-3</v>
      </c>
      <c r="X891" s="24">
        <v>3.9158704074176098E-2</v>
      </c>
      <c r="Y891" s="24">
        <f t="shared" si="100"/>
        <v>4.2980195794987353E-2</v>
      </c>
      <c r="Z891" s="23">
        <f t="shared" si="101"/>
        <v>3.5129888959926081E-3</v>
      </c>
      <c r="AA891" s="36"/>
    </row>
    <row r="892" spans="4:27" ht="13.9" customHeight="1">
      <c r="D892" s="8"/>
      <c r="E892" s="9"/>
      <c r="F892" s="19"/>
      <c r="G892" s="19"/>
      <c r="H892" s="19"/>
      <c r="J892" s="45"/>
      <c r="K892" s="45"/>
      <c r="L892" s="45"/>
      <c r="M892" s="43"/>
      <c r="O892" s="12">
        <f t="shared" si="95"/>
        <v>73.25</v>
      </c>
      <c r="P892" s="13">
        <v>879</v>
      </c>
      <c r="Q892" s="22">
        <v>2.7318219540398481E-2</v>
      </c>
      <c r="R892" s="19">
        <f t="shared" si="96"/>
        <v>2.8035337985858E-2</v>
      </c>
      <c r="S892" s="22">
        <v>3.7811316521020766E-2</v>
      </c>
      <c r="T892" s="19">
        <f t="shared" si="97"/>
        <v>4.2982075421426735E-2</v>
      </c>
      <c r="U892" s="24">
        <v>3.9504174962285088E-2</v>
      </c>
      <c r="V892" s="24">
        <f t="shared" si="98"/>
        <v>4.29798578413636E-2</v>
      </c>
      <c r="W892" s="23">
        <f t="shared" si="99"/>
        <v>3.5129617982367911E-3</v>
      </c>
      <c r="X892" s="24">
        <v>3.91630436533843E-2</v>
      </c>
      <c r="Y892" s="24">
        <f t="shared" si="100"/>
        <v>4.2980397046785246E-2</v>
      </c>
      <c r="Z892" s="23">
        <f t="shared" si="101"/>
        <v>3.5130051979781474E-3</v>
      </c>
      <c r="AA892" s="36"/>
    </row>
    <row r="893" spans="4:27" ht="13.9" customHeight="1">
      <c r="D893" s="8"/>
      <c r="E893" s="9"/>
      <c r="F893" s="19"/>
      <c r="G893" s="19"/>
      <c r="H893" s="19"/>
      <c r="J893" s="45"/>
      <c r="K893" s="45"/>
      <c r="L893" s="45"/>
      <c r="M893" s="43"/>
      <c r="O893" s="12">
        <f t="shared" si="95"/>
        <v>73.333333333333329</v>
      </c>
      <c r="P893" s="13">
        <v>880</v>
      </c>
      <c r="Q893" s="22">
        <v>2.7319034163755473E-2</v>
      </c>
      <c r="R893" s="19">
        <f t="shared" si="96"/>
        <v>2.8037873343725872E-2</v>
      </c>
      <c r="S893" s="22">
        <v>3.7817177810541613E-2</v>
      </c>
      <c r="T893" s="19">
        <f t="shared" si="97"/>
        <v>4.2982267525596196E-2</v>
      </c>
      <c r="U893" s="24">
        <v>3.950811802107923E-2</v>
      </c>
      <c r="V893" s="24">
        <f t="shared" si="98"/>
        <v>4.2980059134749116E-2</v>
      </c>
      <c r="W893" s="23">
        <f t="shared" si="99"/>
        <v>3.5129781008746974E-3</v>
      </c>
      <c r="X893" s="24">
        <v>3.9167373615832002E-2</v>
      </c>
      <c r="Y893" s="24">
        <f t="shared" si="100"/>
        <v>4.2980596252877534E-2</v>
      </c>
      <c r="Z893" s="23">
        <f t="shared" si="101"/>
        <v>3.5130213343326222E-3</v>
      </c>
      <c r="AA893" s="36"/>
    </row>
    <row r="894" spans="4:27" ht="13.9" customHeight="1">
      <c r="D894" s="8"/>
      <c r="E894" s="9"/>
      <c r="F894" s="19"/>
      <c r="G894" s="19"/>
      <c r="H894" s="19"/>
      <c r="J894" s="45"/>
      <c r="K894" s="45"/>
      <c r="L894" s="45"/>
      <c r="M894" s="43"/>
      <c r="O894" s="12">
        <f t="shared" si="95"/>
        <v>73.416666666666671</v>
      </c>
      <c r="P894" s="13">
        <v>881</v>
      </c>
      <c r="Q894" s="22">
        <v>2.7319849814252839E-2</v>
      </c>
      <c r="R894" s="19">
        <f t="shared" si="96"/>
        <v>2.8040387543929679E-2</v>
      </c>
      <c r="S894" s="22">
        <v>3.7823026044034647E-2</v>
      </c>
      <c r="T894" s="19">
        <f t="shared" si="97"/>
        <v>4.2982457570680976E-2</v>
      </c>
      <c r="U894" s="24">
        <v>3.9512052371177164E-2</v>
      </c>
      <c r="V894" s="24">
        <f t="shared" si="98"/>
        <v>4.2980258415965755E-2</v>
      </c>
      <c r="W894" s="23">
        <f t="shared" si="99"/>
        <v>3.5129942405685011E-3</v>
      </c>
      <c r="X894" s="24">
        <v>3.9171693991894685E-2</v>
      </c>
      <c r="Y894" s="24">
        <f t="shared" si="100"/>
        <v>4.2980793434131304E-2</v>
      </c>
      <c r="Z894" s="23">
        <f t="shared" si="101"/>
        <v>3.5130373066598608E-3</v>
      </c>
      <c r="AA894" s="36"/>
    </row>
    <row r="895" spans="4:27" ht="13.9" customHeight="1">
      <c r="D895" s="8"/>
      <c r="E895" s="9"/>
      <c r="F895" s="19"/>
      <c r="G895" s="19"/>
      <c r="H895" s="19"/>
      <c r="J895" s="45"/>
      <c r="K895" s="45"/>
      <c r="L895" s="45"/>
      <c r="M895" s="43"/>
      <c r="O895" s="12">
        <f t="shared" si="95"/>
        <v>73.5</v>
      </c>
      <c r="P895" s="13">
        <v>882</v>
      </c>
      <c r="Q895" s="22">
        <v>2.7320666464422994E-2</v>
      </c>
      <c r="R895" s="19">
        <f t="shared" si="96"/>
        <v>2.8042880764979961E-2</v>
      </c>
      <c r="S895" s="22">
        <v>3.7828861263476732E-2</v>
      </c>
      <c r="T895" s="19">
        <f t="shared" si="97"/>
        <v>4.2982645578760081E-2</v>
      </c>
      <c r="U895" s="24">
        <v>3.9515978039878386E-2</v>
      </c>
      <c r="V895" s="24">
        <f t="shared" si="98"/>
        <v>4.2980455705651677E-2</v>
      </c>
      <c r="W895" s="23">
        <f t="shared" si="99"/>
        <v>3.5130102189238066E-3</v>
      </c>
      <c r="X895" s="24">
        <v>3.9176004811833254E-2</v>
      </c>
      <c r="Y895" s="24">
        <f t="shared" si="100"/>
        <v>4.2980988611452275E-2</v>
      </c>
      <c r="Z895" s="23">
        <f t="shared" si="101"/>
        <v>3.5130531166329693E-3</v>
      </c>
      <c r="AA895" s="36"/>
    </row>
    <row r="896" spans="4:27" ht="13.9" customHeight="1">
      <c r="D896" s="8"/>
      <c r="E896" s="9"/>
      <c r="F896" s="19"/>
      <c r="G896" s="19"/>
      <c r="H896" s="19"/>
      <c r="J896" s="45"/>
      <c r="K896" s="45"/>
      <c r="L896" s="45"/>
      <c r="M896" s="43"/>
      <c r="O896" s="12">
        <f t="shared" si="95"/>
        <v>73.583333333333329</v>
      </c>
      <c r="P896" s="13">
        <v>883</v>
      </c>
      <c r="Q896" s="22">
        <v>2.7321484087124759E-2</v>
      </c>
      <c r="R896" s="19">
        <f t="shared" si="96"/>
        <v>2.8045353181959332E-2</v>
      </c>
      <c r="S896" s="22">
        <v>3.7834683510679978E-2</v>
      </c>
      <c r="T896" s="19">
        <f t="shared" si="97"/>
        <v>4.298283157175109E-2</v>
      </c>
      <c r="U896" s="24">
        <v>3.951989505438247E-2</v>
      </c>
      <c r="V896" s="24">
        <f t="shared" si="98"/>
        <v>4.2980651023089234E-2</v>
      </c>
      <c r="W896" s="23">
        <f t="shared" si="99"/>
        <v>3.5130260375957345E-3</v>
      </c>
      <c r="X896" s="24">
        <v>3.9180306105795593E-2</v>
      </c>
      <c r="Y896" s="24">
        <f t="shared" si="100"/>
        <v>4.2981181805145985E-2</v>
      </c>
      <c r="Z896" s="23">
        <f t="shared" si="101"/>
        <v>3.5130687659281623E-3</v>
      </c>
      <c r="AA896" s="36"/>
    </row>
    <row r="897" spans="4:27" ht="13.9" customHeight="1">
      <c r="D897" s="8"/>
      <c r="E897" s="9"/>
      <c r="F897" s="19"/>
      <c r="G897" s="19"/>
      <c r="H897" s="19"/>
      <c r="J897" s="45"/>
      <c r="K897" s="45"/>
      <c r="L897" s="45"/>
      <c r="M897" s="43"/>
      <c r="O897" s="12">
        <f t="shared" si="95"/>
        <v>73.666666666666671</v>
      </c>
      <c r="P897" s="13">
        <v>884</v>
      </c>
      <c r="Q897" s="22">
        <v>2.7322302655538033E-2</v>
      </c>
      <c r="R897" s="19">
        <f t="shared" si="96"/>
        <v>2.8047804970414703E-2</v>
      </c>
      <c r="S897" s="22">
        <v>3.7840492827292405E-2</v>
      </c>
      <c r="T897" s="19">
        <f t="shared" si="97"/>
        <v>4.2983015570974059E-2</v>
      </c>
      <c r="U897" s="24">
        <v>3.9523803441787519E-2</v>
      </c>
      <c r="V897" s="24">
        <f t="shared" si="98"/>
        <v>4.2980844388696315E-2</v>
      </c>
      <c r="W897" s="23">
        <f t="shared" si="99"/>
        <v>3.5130416981301593E-3</v>
      </c>
      <c r="X897" s="24">
        <v>3.9184597903816343E-2</v>
      </c>
      <c r="Y897" s="24">
        <f t="shared" si="100"/>
        <v>4.298137303534233E-2</v>
      </c>
      <c r="Z897" s="23">
        <f t="shared" si="101"/>
        <v>3.513084256173693E-3</v>
      </c>
      <c r="AA897" s="36"/>
    </row>
    <row r="898" spans="4:27" ht="13.9" customHeight="1">
      <c r="D898" s="8"/>
      <c r="E898" s="9"/>
      <c r="F898" s="19"/>
      <c r="G898" s="19"/>
      <c r="H898" s="19"/>
      <c r="J898" s="45"/>
      <c r="K898" s="45"/>
      <c r="L898" s="45"/>
      <c r="M898" s="43"/>
      <c r="O898" s="12">
        <f t="shared" si="95"/>
        <v>73.75</v>
      </c>
      <c r="P898" s="13">
        <v>885</v>
      </c>
      <c r="Q898" s="22">
        <v>2.7323122143162015E-2</v>
      </c>
      <c r="R898" s="19">
        <f t="shared" si="96"/>
        <v>2.8050236302445297E-2</v>
      </c>
      <c r="S898" s="22">
        <v>3.784628925479816E-2</v>
      </c>
      <c r="T898" s="19">
        <f t="shared" si="97"/>
        <v>4.2983197598106315E-2</v>
      </c>
      <c r="U898" s="24">
        <v>3.9527703229092381E-2</v>
      </c>
      <c r="V898" s="24">
        <f t="shared" si="98"/>
        <v>4.2981035821158198E-2</v>
      </c>
      <c r="W898" s="23">
        <f t="shared" si="99"/>
        <v>3.513057202164438E-3</v>
      </c>
      <c r="X898" s="24">
        <v>3.9188880235817125E-2</v>
      </c>
      <c r="Y898" s="24">
        <f t="shared" si="100"/>
        <v>4.2981562322178091E-2</v>
      </c>
      <c r="Z898" s="23">
        <f t="shared" si="101"/>
        <v>3.5130995889838257E-3</v>
      </c>
      <c r="AA898" s="36"/>
    </row>
    <row r="899" spans="4:27" ht="13.9" customHeight="1">
      <c r="D899" s="8"/>
      <c r="E899" s="9"/>
      <c r="F899" s="19"/>
      <c r="G899" s="19"/>
      <c r="H899" s="19"/>
      <c r="J899" s="45"/>
      <c r="K899" s="45"/>
      <c r="L899" s="45"/>
      <c r="M899" s="43"/>
      <c r="O899" s="12">
        <f t="shared" si="95"/>
        <v>73.833333333333329</v>
      </c>
      <c r="P899" s="13">
        <v>886</v>
      </c>
      <c r="Q899" s="22">
        <v>2.7323942523809874E-2</v>
      </c>
      <c r="R899" s="19">
        <f t="shared" si="96"/>
        <v>2.8052647349964266E-2</v>
      </c>
      <c r="S899" s="22">
        <v>3.7852072834519079E-2</v>
      </c>
      <c r="T899" s="19">
        <f t="shared" si="97"/>
        <v>4.2983377674115308E-2</v>
      </c>
      <c r="U899" s="24">
        <v>3.9531594443195539E-2</v>
      </c>
      <c r="V899" s="24">
        <f t="shared" si="98"/>
        <v>4.2981225340675833E-2</v>
      </c>
      <c r="W899" s="23">
        <f t="shared" si="99"/>
        <v>3.5130725511964833E-3</v>
      </c>
      <c r="X899" s="24">
        <v>3.9193153131607428E-2</v>
      </c>
      <c r="Y899" s="24">
        <f t="shared" si="100"/>
        <v>4.2981749684736892E-2</v>
      </c>
      <c r="Z899" s="23">
        <f t="shared" si="101"/>
        <v>3.5131147659728246E-3</v>
      </c>
      <c r="AA899" s="36"/>
    </row>
    <row r="900" spans="4:27" ht="13.9" customHeight="1">
      <c r="D900" s="8"/>
      <c r="E900" s="9"/>
      <c r="F900" s="19"/>
      <c r="G900" s="19"/>
      <c r="H900" s="19"/>
      <c r="J900" s="45"/>
      <c r="K900" s="45"/>
      <c r="L900" s="45"/>
      <c r="M900" s="43"/>
      <c r="O900" s="12">
        <f t="shared" si="95"/>
        <v>73.916666666666671</v>
      </c>
      <c r="P900" s="13">
        <v>887</v>
      </c>
      <c r="Q900" s="22">
        <v>2.7324763771606753E-2</v>
      </c>
      <c r="R900" s="19">
        <f t="shared" si="96"/>
        <v>2.8055038283197886E-2</v>
      </c>
      <c r="S900" s="22">
        <v>3.7857843607614239E-2</v>
      </c>
      <c r="T900" s="19">
        <f t="shared" si="97"/>
        <v>4.2983555820149233E-2</v>
      </c>
      <c r="U900" s="24">
        <v>3.9535477110896666E-2</v>
      </c>
      <c r="V900" s="24">
        <f t="shared" si="98"/>
        <v>4.2981412966020427E-2</v>
      </c>
      <c r="W900" s="23">
        <f t="shared" si="99"/>
        <v>3.5130877468465549E-3</v>
      </c>
      <c r="X900" s="24">
        <v>3.9197416620884162E-2</v>
      </c>
      <c r="Y900" s="24">
        <f t="shared" si="100"/>
        <v>4.2981935143526773E-2</v>
      </c>
      <c r="Z900" s="23">
        <f t="shared" si="101"/>
        <v>3.5131297886712431E-3</v>
      </c>
      <c r="AA900" s="36"/>
    </row>
    <row r="901" spans="4:27" ht="13.9" customHeight="1">
      <c r="D901" s="8"/>
      <c r="E901" s="9"/>
      <c r="F901" s="19"/>
      <c r="G901" s="19"/>
      <c r="H901" s="19"/>
      <c r="J901" s="45"/>
      <c r="K901" s="45"/>
      <c r="L901" s="45"/>
      <c r="M901" s="43"/>
      <c r="O901" s="12">
        <f t="shared" si="95"/>
        <v>74</v>
      </c>
      <c r="P901" s="13">
        <v>888</v>
      </c>
      <c r="Q901" s="22">
        <v>2.7325585860985768E-2</v>
      </c>
      <c r="R901" s="19">
        <f t="shared" si="96"/>
        <v>2.8057409270907607E-2</v>
      </c>
      <c r="S901" s="22">
        <v>3.7863601615081732E-2</v>
      </c>
      <c r="T901" s="19">
        <f t="shared" si="97"/>
        <v>4.298373205643613E-2</v>
      </c>
      <c r="U901" s="24">
        <v>3.9539351258895961E-2</v>
      </c>
      <c r="V901" s="24">
        <f t="shared" si="98"/>
        <v>4.2981598715696512E-2</v>
      </c>
      <c r="W901" s="23">
        <f t="shared" si="99"/>
        <v>3.513102790619449E-3</v>
      </c>
      <c r="X901" s="24">
        <v>3.9201670733233218E-2</v>
      </c>
      <c r="Y901" s="24">
        <f t="shared" si="100"/>
        <v>4.298211871737001E-2</v>
      </c>
      <c r="Z901" s="23">
        <f t="shared" si="101"/>
        <v>3.5131446587233217E-3</v>
      </c>
      <c r="AA901" s="36"/>
    </row>
    <row r="902" spans="4:27" ht="13.9" customHeight="1">
      <c r="D902" s="8"/>
      <c r="E902" s="9"/>
      <c r="F902" s="19"/>
      <c r="G902" s="19"/>
      <c r="H902" s="19"/>
      <c r="J902" s="45"/>
      <c r="K902" s="45"/>
      <c r="L902" s="45"/>
      <c r="M902" s="43"/>
      <c r="O902" s="12">
        <f t="shared" si="95"/>
        <v>74.083333333333329</v>
      </c>
      <c r="P902" s="13">
        <v>889</v>
      </c>
      <c r="Q902" s="22">
        <v>2.7326408766684906E-2</v>
      </c>
      <c r="R902" s="19">
        <f t="shared" si="96"/>
        <v>2.8059760479885121E-2</v>
      </c>
      <c r="S902" s="22">
        <v>3.7869346897758227E-2</v>
      </c>
      <c r="T902" s="19">
        <f t="shared" si="97"/>
        <v>4.2983906404112204E-2</v>
      </c>
      <c r="U902" s="24">
        <v>3.954321691379481E-2</v>
      </c>
      <c r="V902" s="24">
        <f t="shared" si="98"/>
        <v>4.2981782609055941E-2</v>
      </c>
      <c r="W902" s="23">
        <f t="shared" si="99"/>
        <v>3.5131176839993117E-3</v>
      </c>
      <c r="X902" s="24">
        <v>3.9205915498129018E-2</v>
      </c>
      <c r="Y902" s="24">
        <f t="shared" si="100"/>
        <v>4.298230042548612E-2</v>
      </c>
      <c r="Z902" s="23">
        <f t="shared" si="101"/>
        <v>3.5131593776385195E-3</v>
      </c>
      <c r="AA902" s="36"/>
    </row>
    <row r="903" spans="4:27" ht="13.9" customHeight="1">
      <c r="D903" s="8"/>
      <c r="E903" s="9"/>
      <c r="F903" s="19"/>
      <c r="G903" s="19"/>
      <c r="H903" s="19"/>
      <c r="J903" s="45"/>
      <c r="K903" s="45"/>
      <c r="L903" s="45"/>
      <c r="M903" s="43"/>
      <c r="O903" s="12">
        <f t="shared" si="95"/>
        <v>74.166666666666671</v>
      </c>
      <c r="P903" s="13">
        <v>890</v>
      </c>
      <c r="Q903" s="22">
        <v>2.7327232463743245E-2</v>
      </c>
      <c r="R903" s="19">
        <f t="shared" si="96"/>
        <v>2.806209207641408E-2</v>
      </c>
      <c r="S903" s="22">
        <v>3.787507949632074E-2</v>
      </c>
      <c r="T903" s="19">
        <f t="shared" si="97"/>
        <v>4.2984078882764898E-2</v>
      </c>
      <c r="U903" s="24">
        <v>3.9547074102096458E-2</v>
      </c>
      <c r="V903" s="24">
        <f t="shared" si="98"/>
        <v>4.298196466404347E-2</v>
      </c>
      <c r="W903" s="23">
        <f t="shared" si="99"/>
        <v>3.5131324285373466E-3</v>
      </c>
      <c r="X903" s="24">
        <v>3.9210150944935407E-2</v>
      </c>
      <c r="Y903" s="24">
        <f t="shared" si="100"/>
        <v>4.2982480286698488E-2</v>
      </c>
      <c r="Z903" s="23">
        <f t="shared" si="101"/>
        <v>3.513173946957604E-3</v>
      </c>
      <c r="AA903" s="36"/>
    </row>
    <row r="904" spans="4:27" ht="13.9" customHeight="1">
      <c r="D904" s="8"/>
      <c r="E904" s="9"/>
      <c r="F904" s="19"/>
      <c r="G904" s="19"/>
      <c r="H904" s="19"/>
      <c r="J904" s="45"/>
      <c r="K904" s="45"/>
      <c r="L904" s="45"/>
      <c r="M904" s="43"/>
      <c r="O904" s="12">
        <f t="shared" si="95"/>
        <v>74.25</v>
      </c>
      <c r="P904" s="13">
        <v>891</v>
      </c>
      <c r="Q904" s="22">
        <v>2.732805692749829E-2</v>
      </c>
      <c r="R904" s="19">
        <f t="shared" si="96"/>
        <v>2.8064404224764194E-2</v>
      </c>
      <c r="S904" s="22">
        <v>3.7880799451286196E-2</v>
      </c>
      <c r="T904" s="19">
        <f t="shared" si="97"/>
        <v>4.2984249512780348E-2</v>
      </c>
      <c r="U904" s="24">
        <v>3.9550922850205783E-2</v>
      </c>
      <c r="V904" s="24">
        <f t="shared" si="98"/>
        <v>4.2982144899849306E-2</v>
      </c>
      <c r="W904" s="23">
        <f t="shared" si="99"/>
        <v>3.513147025672847E-3</v>
      </c>
      <c r="X904" s="24">
        <v>3.9214377102905207E-2</v>
      </c>
      <c r="Y904" s="24">
        <f t="shared" si="100"/>
        <v>4.2982658320055434E-2</v>
      </c>
      <c r="Z904" s="23">
        <f t="shared" si="101"/>
        <v>3.5131883681898124E-3</v>
      </c>
      <c r="AA904" s="36"/>
    </row>
    <row r="905" spans="4:27" ht="13.9" customHeight="1">
      <c r="D905" s="8"/>
      <c r="E905" s="9"/>
      <c r="F905" s="19"/>
      <c r="G905" s="19"/>
      <c r="H905" s="19"/>
      <c r="J905" s="45"/>
      <c r="K905" s="45"/>
      <c r="L905" s="45"/>
      <c r="M905" s="43"/>
      <c r="O905" s="12">
        <f t="shared" si="95"/>
        <v>74.333333333333329</v>
      </c>
      <c r="P905" s="13">
        <v>892</v>
      </c>
      <c r="Q905" s="22">
        <v>2.73288821335822E-2</v>
      </c>
      <c r="R905" s="19">
        <f t="shared" si="96"/>
        <v>2.8066697087744785E-2</v>
      </c>
      <c r="S905" s="22">
        <v>3.7886506803012754E-2</v>
      </c>
      <c r="T905" s="19">
        <f t="shared" si="97"/>
        <v>4.2984418313824824E-2</v>
      </c>
      <c r="U905" s="24">
        <v>3.955476318443063E-2</v>
      </c>
      <c r="V905" s="24">
        <f t="shared" si="98"/>
        <v>4.2982323334389338E-2</v>
      </c>
      <c r="W905" s="23">
        <f t="shared" si="99"/>
        <v>3.5131614769443598E-3</v>
      </c>
      <c r="X905" s="24">
        <v>3.9218594001181994E-2</v>
      </c>
      <c r="Y905" s="24">
        <f t="shared" si="100"/>
        <v>4.298283454406282E-2</v>
      </c>
      <c r="Z905" s="23">
        <f t="shared" si="101"/>
        <v>3.5132026428630336E-3</v>
      </c>
      <c r="AA905" s="36"/>
    </row>
    <row r="906" spans="4:27" ht="13.9" customHeight="1">
      <c r="D906" s="8"/>
      <c r="E906" s="9"/>
      <c r="F906" s="19"/>
      <c r="G906" s="19"/>
      <c r="H906" s="19"/>
      <c r="J906" s="45"/>
      <c r="K906" s="45"/>
      <c r="L906" s="45"/>
      <c r="M906" s="43"/>
      <c r="O906" s="12">
        <f t="shared" si="95"/>
        <v>74.416666666666671</v>
      </c>
      <c r="P906" s="13">
        <v>893</v>
      </c>
      <c r="Q906" s="22">
        <v>2.73297080579189E-2</v>
      </c>
      <c r="R906" s="19">
        <f t="shared" si="96"/>
        <v>2.806897082782589E-2</v>
      </c>
      <c r="S906" s="22">
        <v>3.7892201591700259E-2</v>
      </c>
      <c r="T906" s="19">
        <f t="shared" si="97"/>
        <v>4.2984585306028E-2</v>
      </c>
      <c r="U906" s="24">
        <v>3.9558595130981145E-2</v>
      </c>
      <c r="V906" s="24">
        <f t="shared" si="98"/>
        <v>4.2982499984905553E-2</v>
      </c>
      <c r="W906" s="23">
        <f t="shared" si="99"/>
        <v>3.5131757837885136E-3</v>
      </c>
      <c r="X906" s="24">
        <v>3.9222801668799434E-2</v>
      </c>
      <c r="Y906" s="24">
        <f t="shared" si="100"/>
        <v>4.2983008976988257E-2</v>
      </c>
      <c r="Z906" s="23">
        <f t="shared" si="101"/>
        <v>3.5132167724607477E-3</v>
      </c>
      <c r="AA906" s="36"/>
    </row>
    <row r="907" spans="4:27" ht="13.9" customHeight="1">
      <c r="D907" s="8"/>
      <c r="E907" s="9"/>
      <c r="F907" s="19"/>
      <c r="G907" s="19"/>
      <c r="H907" s="19"/>
      <c r="J907" s="45"/>
      <c r="K907" s="45"/>
      <c r="L907" s="45"/>
      <c r="M907" s="43"/>
      <c r="O907" s="12">
        <f t="shared" si="95"/>
        <v>74.5</v>
      </c>
      <c r="P907" s="13">
        <v>894</v>
      </c>
      <c r="Q907" s="22">
        <v>2.7330534676721197E-2</v>
      </c>
      <c r="R907" s="19">
        <f t="shared" si="96"/>
        <v>2.8071225603931271E-2</v>
      </c>
      <c r="S907" s="22">
        <v>3.7897883857391568E-2</v>
      </c>
      <c r="T907" s="19">
        <f t="shared" si="97"/>
        <v>4.2984750507792935E-2</v>
      </c>
      <c r="U907" s="24">
        <v>3.9562418715969772E-2</v>
      </c>
      <c r="V907" s="24">
        <f t="shared" si="98"/>
        <v>4.2982674870380322E-2</v>
      </c>
      <c r="W907" s="23">
        <f t="shared" si="99"/>
        <v>3.5131899475877582E-3</v>
      </c>
      <c r="X907" s="24">
        <v>3.9227000134681944E-2</v>
      </c>
      <c r="Y907" s="24">
        <f t="shared" si="100"/>
        <v>4.298318163718351E-2</v>
      </c>
      <c r="Z907" s="23">
        <f t="shared" si="101"/>
        <v>3.5132307584477829E-3</v>
      </c>
      <c r="AA907" s="36"/>
    </row>
    <row r="908" spans="4:27" ht="13.9" customHeight="1">
      <c r="D908" s="8"/>
      <c r="E908" s="9"/>
      <c r="F908" s="19"/>
      <c r="G908" s="19"/>
      <c r="H908" s="19"/>
      <c r="J908" s="45"/>
      <c r="K908" s="45"/>
      <c r="L908" s="45"/>
      <c r="M908" s="43"/>
      <c r="O908" s="12">
        <f t="shared" si="95"/>
        <v>74.583333333333329</v>
      </c>
      <c r="P908" s="13">
        <v>895</v>
      </c>
      <c r="Q908" s="22">
        <v>2.7331361966486334E-2</v>
      </c>
      <c r="R908" s="19">
        <f t="shared" si="96"/>
        <v>2.807346157658408E-2</v>
      </c>
      <c r="S908" s="22">
        <v>3.7903553639971443E-2</v>
      </c>
      <c r="T908" s="19">
        <f t="shared" si="97"/>
        <v>4.2984913939264846E-2</v>
      </c>
      <c r="U908" s="24">
        <v>3.9566233965413478E-2</v>
      </c>
      <c r="V908" s="24">
        <f t="shared" si="98"/>
        <v>4.2982848007637298E-2</v>
      </c>
      <c r="W908" s="23">
        <f t="shared" si="99"/>
        <v>3.5132039698642092E-3</v>
      </c>
      <c r="X908" s="24">
        <v>3.9231189427645141E-2</v>
      </c>
      <c r="Y908" s="24">
        <f t="shared" si="100"/>
        <v>4.2983352542656394E-2</v>
      </c>
      <c r="Z908" s="23">
        <f t="shared" si="101"/>
        <v>3.5132446022956287E-3</v>
      </c>
      <c r="AA908" s="36"/>
    </row>
    <row r="909" spans="4:27" ht="13.9" customHeight="1">
      <c r="D909" s="8"/>
      <c r="E909" s="9"/>
      <c r="F909" s="19"/>
      <c r="G909" s="19"/>
      <c r="H909" s="19"/>
      <c r="J909" s="45"/>
      <c r="K909" s="45"/>
      <c r="L909" s="45"/>
      <c r="M909" s="43"/>
      <c r="O909" s="12">
        <f t="shared" si="95"/>
        <v>74.666666666666671</v>
      </c>
      <c r="P909" s="13">
        <v>896</v>
      </c>
      <c r="Q909" s="22">
        <v>2.7332189903994886E-2</v>
      </c>
      <c r="R909" s="19">
        <f t="shared" si="96"/>
        <v>2.8075678901930745E-2</v>
      </c>
      <c r="S909" s="22">
        <v>3.7909210979168995E-2</v>
      </c>
      <c r="T909" s="19">
        <f t="shared" si="97"/>
        <v>4.298507561864251E-2</v>
      </c>
      <c r="U909" s="24">
        <v>3.9570040905231973E-2</v>
      </c>
      <c r="V909" s="24">
        <f t="shared" si="98"/>
        <v>4.2983019414762236E-2</v>
      </c>
      <c r="W909" s="23">
        <f t="shared" si="99"/>
        <v>3.5132178519667878E-3</v>
      </c>
      <c r="X909" s="24">
        <v>3.9235369576396506E-2</v>
      </c>
      <c r="Y909" s="24">
        <f t="shared" si="100"/>
        <v>4.2983521711175365E-2</v>
      </c>
      <c r="Z909" s="23">
        <f t="shared" si="101"/>
        <v>3.5132583054482414E-3</v>
      </c>
      <c r="AA909" s="36"/>
    </row>
    <row r="910" spans="4:27" ht="13.9" customHeight="1">
      <c r="D910" s="8"/>
      <c r="E910" s="9"/>
      <c r="F910" s="19"/>
      <c r="G910" s="19"/>
      <c r="H910" s="19"/>
      <c r="J910" s="45"/>
      <c r="K910" s="45"/>
      <c r="L910" s="45"/>
      <c r="M910" s="43"/>
      <c r="O910" s="12">
        <f t="shared" ref="O910:O973" si="102">P910/12</f>
        <v>74.75</v>
      </c>
      <c r="P910" s="13">
        <v>897</v>
      </c>
      <c r="Q910" s="22">
        <v>2.7333018466305647E-2</v>
      </c>
      <c r="R910" s="19">
        <f t="shared" ref="R910:R973" si="103">(1+Q911)^P911/(1+Q910)^P910-1</f>
        <v>2.8077877736979673E-2</v>
      </c>
      <c r="S910" s="22">
        <v>3.7914855914557455E-2</v>
      </c>
      <c r="T910" s="19">
        <f t="shared" ref="T910:T973" si="104">(1+S911)^P911/(1+S910)^P910-1</f>
        <v>4.2985235565871305E-2</v>
      </c>
      <c r="U910" s="24">
        <v>3.9573839561249713E-2</v>
      </c>
      <c r="V910" s="24">
        <f t="shared" ref="V910:V973" si="105">(1+U911)^P911/(1+U910)^P910-1</f>
        <v>4.2983189108369402E-2</v>
      </c>
      <c r="W910" s="23">
        <f t="shared" si="99"/>
        <v>3.5132315953456672E-3</v>
      </c>
      <c r="X910" s="24">
        <v>3.9239540609535384E-2</v>
      </c>
      <c r="Y910" s="24">
        <f t="shared" si="100"/>
        <v>4.2983689160734473E-2</v>
      </c>
      <c r="Z910" s="23">
        <f t="shared" si="101"/>
        <v>3.5132718693302589E-3</v>
      </c>
      <c r="AA910" s="36"/>
    </row>
    <row r="911" spans="4:27" ht="13.9" customHeight="1">
      <c r="D911" s="8"/>
      <c r="E911" s="9"/>
      <c r="F911" s="19"/>
      <c r="G911" s="19"/>
      <c r="H911" s="19"/>
      <c r="J911" s="45"/>
      <c r="K911" s="45"/>
      <c r="L911" s="45"/>
      <c r="M911" s="43"/>
      <c r="O911" s="12">
        <f t="shared" si="102"/>
        <v>74.833333333333329</v>
      </c>
      <c r="P911" s="13">
        <v>898</v>
      </c>
      <c r="Q911" s="22">
        <v>2.7333847630754082E-2</v>
      </c>
      <c r="R911" s="19">
        <f t="shared" si="103"/>
        <v>2.8080058236890304E-2</v>
      </c>
      <c r="S911" s="22">
        <v>3.7920488485555515E-2</v>
      </c>
      <c r="T911" s="19">
        <f t="shared" si="104"/>
        <v>4.2985393797719151E-2</v>
      </c>
      <c r="U911" s="24">
        <v>3.957762995919456E-2</v>
      </c>
      <c r="V911" s="24">
        <f t="shared" si="105"/>
        <v>4.2983357105792042E-2</v>
      </c>
      <c r="W911" s="23">
        <f t="shared" ref="W911:W974" si="106">(1+V910)^(1/12)-1</f>
        <v>3.5132452013333371E-3</v>
      </c>
      <c r="X911" s="24">
        <v>3.924370255555365E-2</v>
      </c>
      <c r="Y911" s="24">
        <f t="shared" ref="Y911:Y974" si="107">(1+X912)^P912/(1+X911)^P911-1</f>
        <v>4.2983854907734154E-2</v>
      </c>
      <c r="Z911" s="23">
        <f t="shared" ref="Z911:Z974" si="108">(1+Y910)^(1/12)-1</f>
        <v>3.5132852953847493E-3</v>
      </c>
      <c r="AA911" s="36"/>
    </row>
    <row r="912" spans="4:27" ht="13.9" customHeight="1">
      <c r="D912" s="8"/>
      <c r="E912" s="9"/>
      <c r="F912" s="19"/>
      <c r="G912" s="19"/>
      <c r="H912" s="19"/>
      <c r="J912" s="45"/>
      <c r="K912" s="45"/>
      <c r="L912" s="45"/>
      <c r="M912" s="43"/>
      <c r="O912" s="12">
        <f t="shared" si="102"/>
        <v>74.916666666666671</v>
      </c>
      <c r="P912" s="13">
        <v>899</v>
      </c>
      <c r="Q912" s="22">
        <v>2.7334677374948768E-2</v>
      </c>
      <c r="R912" s="19">
        <f t="shared" si="103"/>
        <v>2.8082220554521475E-2</v>
      </c>
      <c r="S912" s="22">
        <v>3.7926108731426211E-2</v>
      </c>
      <c r="T912" s="19">
        <f t="shared" si="104"/>
        <v>4.2985550334247336E-2</v>
      </c>
      <c r="U912" s="24">
        <v>3.9581412124699566E-2</v>
      </c>
      <c r="V912" s="24">
        <f t="shared" si="105"/>
        <v>4.2983523424788395E-2</v>
      </c>
      <c r="W912" s="23">
        <f t="shared" si="106"/>
        <v>3.5132586713191305E-3</v>
      </c>
      <c r="X912" s="24">
        <v>3.9247855442835267E-2</v>
      </c>
      <c r="Y912" s="24">
        <f t="shared" si="107"/>
        <v>4.2984018970925408E-2</v>
      </c>
      <c r="Z912" s="23">
        <f t="shared" si="108"/>
        <v>3.5132985849266607E-3</v>
      </c>
      <c r="AA912" s="36"/>
    </row>
    <row r="913" spans="4:27" ht="13.9" customHeight="1">
      <c r="D913" s="8"/>
      <c r="E913" s="9"/>
      <c r="F913" s="19"/>
      <c r="G913" s="19"/>
      <c r="H913" s="19"/>
      <c r="J913" s="45"/>
      <c r="K913" s="45"/>
      <c r="L913" s="45"/>
      <c r="M913" s="43"/>
      <c r="O913" s="12">
        <f t="shared" si="102"/>
        <v>75</v>
      </c>
      <c r="P913" s="13">
        <v>900</v>
      </c>
      <c r="Q913" s="22">
        <v>2.7335507676768067E-2</v>
      </c>
      <c r="R913" s="19">
        <f t="shared" si="103"/>
        <v>2.808436484265342E-2</v>
      </c>
      <c r="S913" s="22">
        <v>3.7931716691280037E-2</v>
      </c>
      <c r="T913" s="19">
        <f t="shared" si="104"/>
        <v>4.2985705193106627E-2</v>
      </c>
      <c r="U913" s="24">
        <v>3.9585186083303414E-2</v>
      </c>
      <c r="V913" s="24">
        <f t="shared" si="105"/>
        <v>4.2983688081055016E-2</v>
      </c>
      <c r="W913" s="23">
        <f t="shared" si="106"/>
        <v>3.5132720067272416E-3</v>
      </c>
      <c r="X913" s="24">
        <v>3.9251999299658502E-2</v>
      </c>
      <c r="Y913" s="24">
        <f t="shared" si="107"/>
        <v>4.2984181366601648E-2</v>
      </c>
      <c r="Z913" s="23">
        <f t="shared" si="108"/>
        <v>3.513311739459235E-3</v>
      </c>
      <c r="AA913" s="36"/>
    </row>
    <row r="914" spans="4:27" ht="13.9" customHeight="1">
      <c r="D914" s="8"/>
      <c r="E914" s="9"/>
      <c r="F914" s="19"/>
      <c r="G914" s="19"/>
      <c r="H914" s="19"/>
      <c r="J914" s="45"/>
      <c r="K914" s="45"/>
      <c r="L914" s="45"/>
      <c r="M914" s="43"/>
      <c r="O914" s="12">
        <f t="shared" si="102"/>
        <v>75.083333333333329</v>
      </c>
      <c r="P914" s="13">
        <v>901</v>
      </c>
      <c r="Q914" s="22">
        <v>2.7336338514357905E-2</v>
      </c>
      <c r="R914" s="19">
        <f t="shared" si="103"/>
        <v>2.8086491252566237E-2</v>
      </c>
      <c r="S914" s="22">
        <v>3.7937312404074053E-2</v>
      </c>
      <c r="T914" s="19">
        <f t="shared" si="104"/>
        <v>4.298585839174085E-2</v>
      </c>
      <c r="U914" s="24">
        <v>3.9588951860449084E-2</v>
      </c>
      <c r="V914" s="24">
        <f t="shared" si="105"/>
        <v>4.2983851091939806E-2</v>
      </c>
      <c r="W914" s="23">
        <f t="shared" si="106"/>
        <v>3.5132852088164412E-3</v>
      </c>
      <c r="X914" s="24">
        <v>3.92561341541946E-2</v>
      </c>
      <c r="Y914" s="24">
        <f t="shared" si="107"/>
        <v>4.2984342111735296E-2</v>
      </c>
      <c r="Z914" s="23">
        <f t="shared" si="108"/>
        <v>3.5133247602892048E-3</v>
      </c>
      <c r="AA914" s="36"/>
    </row>
    <row r="915" spans="4:27" ht="13.9" customHeight="1">
      <c r="D915" s="8"/>
      <c r="E915" s="9"/>
      <c r="F915" s="19"/>
      <c r="G915" s="19"/>
      <c r="H915" s="19"/>
      <c r="J915" s="45"/>
      <c r="K915" s="45"/>
      <c r="L915" s="45"/>
      <c r="M915" s="43"/>
      <c r="O915" s="12">
        <f t="shared" si="102"/>
        <v>75.166666666666671</v>
      </c>
      <c r="P915" s="13">
        <v>902</v>
      </c>
      <c r="Q915" s="22">
        <v>2.7337169866128441E-2</v>
      </c>
      <c r="R915" s="19">
        <f t="shared" si="103"/>
        <v>2.8088599933397074E-2</v>
      </c>
      <c r="S915" s="22">
        <v>3.7942895908612106E-2</v>
      </c>
      <c r="T915" s="19">
        <f t="shared" si="104"/>
        <v>4.2986009948656534E-2</v>
      </c>
      <c r="U915" s="24">
        <v>3.9592709481486077E-2</v>
      </c>
      <c r="V915" s="24">
        <f t="shared" si="105"/>
        <v>4.2984012473167743E-2</v>
      </c>
      <c r="W915" s="23">
        <f t="shared" si="106"/>
        <v>3.5132982789773948E-3</v>
      </c>
      <c r="X915" s="24">
        <v>3.9260260034508887E-2</v>
      </c>
      <c r="Y915" s="24">
        <f t="shared" si="107"/>
        <v>4.2984501223209515E-2</v>
      </c>
      <c r="Z915" s="23">
        <f t="shared" si="108"/>
        <v>3.5133376487774814E-3</v>
      </c>
      <c r="AA915" s="36"/>
    </row>
    <row r="916" spans="4:27" ht="13.9" customHeight="1">
      <c r="D916" s="8"/>
      <c r="E916" s="9"/>
      <c r="F916" s="19"/>
      <c r="G916" s="19"/>
      <c r="H916" s="19"/>
      <c r="J916" s="45"/>
      <c r="K916" s="45"/>
      <c r="L916" s="45"/>
      <c r="M916" s="43"/>
      <c r="O916" s="12">
        <f t="shared" si="102"/>
        <v>75.25</v>
      </c>
      <c r="P916" s="13">
        <v>903</v>
      </c>
      <c r="Q916" s="22">
        <v>2.7338001710751181E-2</v>
      </c>
      <c r="R916" s="19">
        <f t="shared" si="103"/>
        <v>2.8090691034070359E-2</v>
      </c>
      <c r="S916" s="22">
        <v>3.7948467243547057E-2</v>
      </c>
      <c r="T916" s="19">
        <f t="shared" si="104"/>
        <v>4.2986159880877839E-2</v>
      </c>
      <c r="U916" s="24">
        <v>3.959645897166908E-2</v>
      </c>
      <c r="V916" s="24">
        <f t="shared" si="105"/>
        <v>4.2984172241667951E-2</v>
      </c>
      <c r="W916" s="23">
        <f t="shared" si="106"/>
        <v>3.5133112184713156E-3</v>
      </c>
      <c r="X916" s="24">
        <v>3.9264376968560999E-2</v>
      </c>
      <c r="Y916" s="24">
        <f t="shared" si="107"/>
        <v>4.298465871774737E-2</v>
      </c>
      <c r="Z916" s="23">
        <f t="shared" si="108"/>
        <v>3.5133504062776488E-3</v>
      </c>
      <c r="AA916" s="36"/>
    </row>
    <row r="917" spans="4:27" ht="13.9" customHeight="1">
      <c r="D917" s="8"/>
      <c r="E917" s="9"/>
      <c r="F917" s="19"/>
      <c r="G917" s="19"/>
      <c r="H917" s="19"/>
      <c r="J917" s="45"/>
      <c r="K917" s="45"/>
      <c r="L917" s="45"/>
      <c r="M917" s="43"/>
      <c r="O917" s="12">
        <f t="shared" si="102"/>
        <v>75.333333333333329</v>
      </c>
      <c r="P917" s="13">
        <v>904</v>
      </c>
      <c r="Q917" s="22">
        <v>2.7338834027156089E-2</v>
      </c>
      <c r="R917" s="19">
        <f t="shared" si="103"/>
        <v>2.8092764701804551E-2</v>
      </c>
      <c r="S917" s="22">
        <v>3.7954026447379663E-2</v>
      </c>
      <c r="T917" s="19">
        <f t="shared" si="104"/>
        <v>4.2986308206472756E-2</v>
      </c>
      <c r="U917" s="24">
        <v>3.9600200356159965E-2</v>
      </c>
      <c r="V917" s="24">
        <f t="shared" si="105"/>
        <v>4.2984330413587735E-2</v>
      </c>
      <c r="W917" s="23">
        <f t="shared" si="106"/>
        <v>3.5133240286553402E-3</v>
      </c>
      <c r="X917" s="24">
        <v>3.9268484984205543E-2</v>
      </c>
      <c r="Y917" s="24">
        <f t="shared" si="107"/>
        <v>4.2984814611758404E-2</v>
      </c>
      <c r="Z917" s="23">
        <f t="shared" si="108"/>
        <v>3.5133630341308564E-3</v>
      </c>
      <c r="AA917" s="36"/>
    </row>
    <row r="918" spans="4:27" ht="13.9" customHeight="1">
      <c r="D918" s="8"/>
      <c r="E918" s="9"/>
      <c r="F918" s="19"/>
      <c r="G918" s="19"/>
      <c r="H918" s="19"/>
      <c r="J918" s="45"/>
      <c r="K918" s="45"/>
      <c r="L918" s="45"/>
      <c r="M918" s="43"/>
      <c r="O918" s="12">
        <f t="shared" si="102"/>
        <v>75.416666666666671</v>
      </c>
      <c r="P918" s="13">
        <v>905</v>
      </c>
      <c r="Q918" s="22">
        <v>2.7339666794529371E-2</v>
      </c>
      <c r="R918" s="19">
        <f t="shared" si="103"/>
        <v>2.8094821082163657E-2</v>
      </c>
      <c r="S918" s="22">
        <v>3.7959573558461024E-2</v>
      </c>
      <c r="T918" s="19">
        <f t="shared" si="104"/>
        <v>4.298645494209552E-2</v>
      </c>
      <c r="U918" s="24">
        <v>3.9603933660027124E-2</v>
      </c>
      <c r="V918" s="24">
        <f t="shared" si="105"/>
        <v>4.298448700421531E-2</v>
      </c>
      <c r="W918" s="23">
        <f t="shared" si="106"/>
        <v>3.5133367108242108E-3</v>
      </c>
      <c r="X918" s="24">
        <v>3.9272584109192321E-2</v>
      </c>
      <c r="Y918" s="24">
        <f t="shared" si="107"/>
        <v>4.298496892119319E-2</v>
      </c>
      <c r="Z918" s="23">
        <f t="shared" si="108"/>
        <v>3.5133755336524963E-3</v>
      </c>
      <c r="AA918" s="36"/>
    </row>
    <row r="919" spans="4:27" ht="13.9" customHeight="1">
      <c r="D919" s="8"/>
      <c r="E919" s="9"/>
      <c r="F919" s="19"/>
      <c r="G919" s="19"/>
      <c r="H919" s="19"/>
      <c r="J919" s="45"/>
      <c r="K919" s="45"/>
      <c r="L919" s="45"/>
      <c r="M919" s="43"/>
      <c r="O919" s="12">
        <f t="shared" si="102"/>
        <v>75.5</v>
      </c>
      <c r="P919" s="13">
        <v>906</v>
      </c>
      <c r="Q919" s="22">
        <v>2.7340499992309253E-2</v>
      </c>
      <c r="R919" s="19">
        <f t="shared" si="103"/>
        <v>2.8096860320734995E-2</v>
      </c>
      <c r="S919" s="22">
        <v>3.796510861499125E-2</v>
      </c>
      <c r="T919" s="19">
        <f t="shared" si="104"/>
        <v>4.2986600104968797E-2</v>
      </c>
      <c r="U919" s="24">
        <v>3.9607658908245469E-2</v>
      </c>
      <c r="V919" s="24">
        <f t="shared" si="105"/>
        <v>4.2984642030262199E-2</v>
      </c>
      <c r="W919" s="23">
        <f t="shared" si="106"/>
        <v>3.5133492662040577E-3</v>
      </c>
      <c r="X919" s="24">
        <v>3.9276674371166553E-2</v>
      </c>
      <c r="Y919" s="24">
        <f t="shared" si="107"/>
        <v>4.2985121662781678E-2</v>
      </c>
      <c r="Z919" s="23">
        <f t="shared" si="108"/>
        <v>3.5133879061217677E-3</v>
      </c>
      <c r="AA919" s="36"/>
    </row>
    <row r="920" spans="4:27" ht="13.9" customHeight="1">
      <c r="D920" s="8"/>
      <c r="E920" s="9"/>
      <c r="F920" s="19"/>
      <c r="G920" s="19"/>
      <c r="H920" s="19"/>
      <c r="J920" s="45"/>
      <c r="K920" s="45"/>
      <c r="L920" s="45"/>
      <c r="M920" s="43"/>
      <c r="O920" s="12">
        <f t="shared" si="102"/>
        <v>75.583333333333329</v>
      </c>
      <c r="P920" s="13">
        <v>907</v>
      </c>
      <c r="Q920" s="22">
        <v>2.7341333600185314E-2</v>
      </c>
      <c r="R920" s="19">
        <f t="shared" si="103"/>
        <v>2.8098882560202654E-2</v>
      </c>
      <c r="S920" s="22">
        <v>3.797063165502168E-2</v>
      </c>
      <c r="T920" s="19">
        <f t="shared" si="104"/>
        <v>4.298674371203326E-2</v>
      </c>
      <c r="U920" s="24">
        <v>3.9611376125698206E-2</v>
      </c>
      <c r="V920" s="24">
        <f t="shared" si="105"/>
        <v>4.2984795506724627E-2</v>
      </c>
      <c r="W920" s="23">
        <f t="shared" si="106"/>
        <v>3.513361696134476E-3</v>
      </c>
      <c r="X920" s="24">
        <v>3.9280755797669764E-2</v>
      </c>
      <c r="Y920" s="24">
        <f t="shared" si="107"/>
        <v>4.2985272851705947E-2</v>
      </c>
      <c r="Z920" s="23">
        <f t="shared" si="108"/>
        <v>3.5134001528802639E-3</v>
      </c>
      <c r="AA920" s="36"/>
    </row>
    <row r="921" spans="4:27" ht="13.9" customHeight="1">
      <c r="D921" s="8"/>
      <c r="E921" s="9"/>
      <c r="F921" s="19"/>
      <c r="G921" s="19"/>
      <c r="H921" s="19"/>
      <c r="J921" s="45"/>
      <c r="K921" s="45"/>
      <c r="L921" s="45"/>
      <c r="M921" s="43"/>
      <c r="O921" s="12">
        <f t="shared" si="102"/>
        <v>75.666666666666671</v>
      </c>
      <c r="P921" s="13">
        <v>908</v>
      </c>
      <c r="Q921" s="22">
        <v>2.7342167598093825E-2</v>
      </c>
      <c r="R921" s="19">
        <f t="shared" si="103"/>
        <v>2.8100887943319552E-2</v>
      </c>
      <c r="S921" s="22">
        <v>3.7976142716454664E-2</v>
      </c>
      <c r="T921" s="19">
        <f t="shared" si="104"/>
        <v>4.2986885779966011E-2</v>
      </c>
      <c r="U921" s="24">
        <v>3.9615085337175504E-2</v>
      </c>
      <c r="V921" s="24">
        <f t="shared" si="105"/>
        <v>4.2984947449209665E-2</v>
      </c>
      <c r="W921" s="23">
        <f t="shared" si="106"/>
        <v>3.5133740018182813E-3</v>
      </c>
      <c r="X921" s="24">
        <v>3.9284828416139117E-2</v>
      </c>
      <c r="Y921" s="24">
        <f t="shared" si="107"/>
        <v>4.2985422504304482E-2</v>
      </c>
      <c r="Z921" s="23">
        <f t="shared" si="108"/>
        <v>3.5134122751450114E-3</v>
      </c>
      <c r="AA921" s="36"/>
    </row>
    <row r="922" spans="4:27" ht="13.9" customHeight="1">
      <c r="D922" s="8"/>
      <c r="E922" s="9"/>
      <c r="F922" s="19"/>
      <c r="G922" s="19"/>
      <c r="H922" s="19"/>
      <c r="J922" s="45"/>
      <c r="K922" s="45"/>
      <c r="L922" s="45"/>
      <c r="M922" s="43"/>
      <c r="O922" s="12">
        <f t="shared" si="102"/>
        <v>75.75</v>
      </c>
      <c r="P922" s="13">
        <v>909</v>
      </c>
      <c r="Q922" s="22">
        <v>2.7343001966216196E-2</v>
      </c>
      <c r="R922" s="19">
        <f t="shared" si="103"/>
        <v>2.8102876611241223E-2</v>
      </c>
      <c r="S922" s="22">
        <v>3.7981641837044444E-2</v>
      </c>
      <c r="T922" s="19">
        <f t="shared" si="104"/>
        <v>4.2987026325339128E-2</v>
      </c>
      <c r="U922" s="24">
        <v>3.961878656737583E-2</v>
      </c>
      <c r="V922" s="24">
        <f t="shared" si="105"/>
        <v>4.2985097873265765E-2</v>
      </c>
      <c r="W922" s="23">
        <f t="shared" si="106"/>
        <v>3.5133861845066949E-3</v>
      </c>
      <c r="X922" s="24">
        <v>3.9288892253909413E-2</v>
      </c>
      <c r="Y922" s="24">
        <f t="shared" si="107"/>
        <v>4.2985570636186576E-2</v>
      </c>
      <c r="Z922" s="23">
        <f t="shared" si="108"/>
        <v>3.5134242742260735E-3</v>
      </c>
      <c r="AA922" s="36"/>
    </row>
    <row r="923" spans="4:27" ht="13.9" customHeight="1">
      <c r="D923" s="8"/>
      <c r="E923" s="9"/>
      <c r="F923" s="19"/>
      <c r="G923" s="19"/>
      <c r="H923" s="19"/>
      <c r="J923" s="45"/>
      <c r="K923" s="45"/>
      <c r="L923" s="45"/>
      <c r="M923" s="43"/>
      <c r="O923" s="12">
        <f t="shared" si="102"/>
        <v>75.833333333333329</v>
      </c>
      <c r="P923" s="13">
        <v>910</v>
      </c>
      <c r="Q923" s="22">
        <v>2.7343836684975864E-2</v>
      </c>
      <c r="R923" s="19">
        <f t="shared" si="103"/>
        <v>2.8104848703519369E-2</v>
      </c>
      <c r="S923" s="22">
        <v>3.798712905439805E-2</v>
      </c>
      <c r="T923" s="19">
        <f t="shared" si="104"/>
        <v>4.2987165364063662E-2</v>
      </c>
      <c r="U923" s="24">
        <v>3.9622479840906166E-2</v>
      </c>
      <c r="V923" s="24">
        <f t="shared" si="105"/>
        <v>4.2985246793722398E-2</v>
      </c>
      <c r="W923" s="23">
        <f t="shared" si="106"/>
        <v>3.5133982454464974E-3</v>
      </c>
      <c r="X923" s="24">
        <v>3.9292947338212203E-2</v>
      </c>
      <c r="Y923" s="24">
        <f t="shared" si="107"/>
        <v>4.2985717262172818E-2</v>
      </c>
      <c r="Z923" s="23">
        <f t="shared" si="108"/>
        <v>3.5134361513753376E-3</v>
      </c>
      <c r="AA923" s="36"/>
    </row>
    <row r="924" spans="4:27" ht="13.9" customHeight="1">
      <c r="D924" s="8"/>
      <c r="E924" s="9"/>
      <c r="F924" s="19"/>
      <c r="G924" s="19"/>
      <c r="H924" s="19"/>
      <c r="J924" s="45"/>
      <c r="K924" s="45"/>
      <c r="L924" s="45"/>
      <c r="M924" s="43"/>
      <c r="O924" s="12">
        <f t="shared" si="102"/>
        <v>75.916666666666671</v>
      </c>
      <c r="P924" s="13">
        <v>911</v>
      </c>
      <c r="Q924" s="22">
        <v>2.7344671735035631E-2</v>
      </c>
      <c r="R924" s="19">
        <f t="shared" si="103"/>
        <v>2.8106804359340432E-2</v>
      </c>
      <c r="S924" s="22">
        <v>3.799260440597485E-2</v>
      </c>
      <c r="T924" s="19">
        <f t="shared" si="104"/>
        <v>4.2987302912504743E-2</v>
      </c>
      <c r="U924" s="24">
        <v>3.9626165182282014E-2</v>
      </c>
      <c r="V924" s="24">
        <f t="shared" si="105"/>
        <v>4.2985394226175755E-2</v>
      </c>
      <c r="W924" s="23">
        <f t="shared" si="106"/>
        <v>3.5134101858267375E-3</v>
      </c>
      <c r="X924" s="24">
        <v>3.929699369617623E-2</v>
      </c>
      <c r="Y924" s="24">
        <f t="shared" si="107"/>
        <v>4.2985862398673413E-2</v>
      </c>
      <c r="Z924" s="23">
        <f t="shared" si="108"/>
        <v>3.5134479077809644E-3</v>
      </c>
      <c r="AA924" s="36"/>
    </row>
    <row r="925" spans="4:27" ht="13.9" customHeight="1">
      <c r="D925" s="8"/>
      <c r="E925" s="9"/>
      <c r="F925" s="19"/>
      <c r="G925" s="19"/>
      <c r="H925" s="19"/>
      <c r="J925" s="45"/>
      <c r="K925" s="45"/>
      <c r="L925" s="45"/>
      <c r="M925" s="43"/>
      <c r="O925" s="12">
        <f t="shared" si="102"/>
        <v>76</v>
      </c>
      <c r="P925" s="13">
        <v>912</v>
      </c>
      <c r="Q925" s="22">
        <v>2.7345507097295219E-2</v>
      </c>
      <c r="R925" s="19">
        <f t="shared" si="103"/>
        <v>2.810874371630212E-2</v>
      </c>
      <c r="S925" s="22">
        <v>3.7998067929088331E-2</v>
      </c>
      <c r="T925" s="19">
        <f t="shared" si="104"/>
        <v>4.2987438987197368E-2</v>
      </c>
      <c r="U925" s="24">
        <v>3.9629842615928279E-2</v>
      </c>
      <c r="V925" s="24">
        <f t="shared" si="105"/>
        <v>4.298554018466394E-2</v>
      </c>
      <c r="W925" s="23">
        <f t="shared" si="106"/>
        <v>3.5134220068979705E-3</v>
      </c>
      <c r="X925" s="24">
        <v>3.9301031354828986E-2</v>
      </c>
      <c r="Y925" s="24">
        <f t="shared" si="107"/>
        <v>4.298600605963987E-2</v>
      </c>
      <c r="Z925" s="23">
        <f t="shared" si="108"/>
        <v>3.5134595447590122E-3</v>
      </c>
      <c r="AA925" s="36"/>
    </row>
    <row r="926" spans="4:27" ht="13.9" customHeight="1">
      <c r="D926" s="8"/>
      <c r="E926" s="9"/>
      <c r="F926" s="19"/>
      <c r="G926" s="19"/>
      <c r="H926" s="19"/>
      <c r="J926" s="45"/>
      <c r="K926" s="45"/>
      <c r="L926" s="45"/>
      <c r="M926" s="43"/>
      <c r="O926" s="12">
        <f t="shared" si="102"/>
        <v>76.083333333333329</v>
      </c>
      <c r="P926" s="13">
        <v>913</v>
      </c>
      <c r="Q926" s="22">
        <v>2.7346342752889274E-2</v>
      </c>
      <c r="R926" s="19">
        <f t="shared" si="103"/>
        <v>2.8110666910453164E-2</v>
      </c>
      <c r="S926" s="22">
        <v>3.8003519660906759E-2</v>
      </c>
      <c r="T926" s="19">
        <f t="shared" si="104"/>
        <v>4.2987573602945028E-2</v>
      </c>
      <c r="U926" s="24">
        <v>3.9633512166178608E-2</v>
      </c>
      <c r="V926" s="24">
        <f t="shared" si="105"/>
        <v>4.298568468472741E-2</v>
      </c>
      <c r="W926" s="23">
        <f t="shared" si="106"/>
        <v>3.5134337097857404E-3</v>
      </c>
      <c r="X926" s="24">
        <v>3.9305060341095377E-2</v>
      </c>
      <c r="Y926" s="24">
        <f t="shared" si="107"/>
        <v>4.2986148260699908E-2</v>
      </c>
      <c r="Z926" s="23">
        <f t="shared" si="108"/>
        <v>3.5134710634276978E-3</v>
      </c>
      <c r="AA926" s="36"/>
    </row>
    <row r="927" spans="4:27" ht="13.9" customHeight="1">
      <c r="D927" s="8"/>
      <c r="E927" s="9"/>
      <c r="F927" s="19"/>
      <c r="G927" s="19"/>
      <c r="H927" s="19"/>
      <c r="J927" s="45"/>
      <c r="K927" s="45"/>
      <c r="L927" s="45"/>
      <c r="M927" s="43"/>
      <c r="O927" s="12">
        <f t="shared" si="102"/>
        <v>76.166666666666671</v>
      </c>
      <c r="P927" s="13">
        <v>914</v>
      </c>
      <c r="Q927" s="22">
        <v>2.7347178683183371E-2</v>
      </c>
      <c r="R927" s="19">
        <f t="shared" si="103"/>
        <v>2.8112574076946562E-2</v>
      </c>
      <c r="S927" s="22">
        <v>3.80089596384523E-2</v>
      </c>
      <c r="T927" s="19">
        <f t="shared" si="104"/>
        <v>4.2987706776383083E-2</v>
      </c>
      <c r="U927" s="24">
        <v>3.9637173857277164E-2</v>
      </c>
      <c r="V927" s="24">
        <f t="shared" si="105"/>
        <v>4.298582774066273E-2</v>
      </c>
      <c r="W927" s="23">
        <f t="shared" si="106"/>
        <v>3.5134452957361617E-3</v>
      </c>
      <c r="X927" s="24">
        <v>3.9309080681799502E-2</v>
      </c>
      <c r="Y927" s="24">
        <f t="shared" si="107"/>
        <v>4.2986289017000967E-2</v>
      </c>
      <c r="Z927" s="23">
        <f t="shared" si="108"/>
        <v>3.5134824650404628E-3</v>
      </c>
      <c r="AA927" s="36"/>
    </row>
    <row r="928" spans="4:27" ht="13.9" customHeight="1">
      <c r="D928" s="8"/>
      <c r="E928" s="9"/>
      <c r="F928" s="19"/>
      <c r="G928" s="19"/>
      <c r="H928" s="19"/>
      <c r="J928" s="45"/>
      <c r="K928" s="45"/>
      <c r="L928" s="45"/>
      <c r="M928" s="43"/>
      <c r="O928" s="12">
        <f t="shared" si="102"/>
        <v>76.25</v>
      </c>
      <c r="P928" s="13">
        <v>915</v>
      </c>
      <c r="Q928" s="22">
        <v>2.734801486977223E-2</v>
      </c>
      <c r="R928" s="19">
        <f t="shared" si="103"/>
        <v>2.8114465350924434E-2</v>
      </c>
      <c r="S928" s="22">
        <v>3.8014387898603674E-2</v>
      </c>
      <c r="T928" s="19">
        <f t="shared" si="104"/>
        <v>4.2987838522110966E-2</v>
      </c>
      <c r="U928" s="24">
        <v>3.9640827713377735E-2</v>
      </c>
      <c r="V928" s="24">
        <f t="shared" si="105"/>
        <v>4.2985969366670318E-2</v>
      </c>
      <c r="W928" s="23">
        <f t="shared" si="106"/>
        <v>3.5134567658956506E-3</v>
      </c>
      <c r="X928" s="24">
        <v>3.9313092403664873E-2</v>
      </c>
      <c r="Y928" s="24">
        <f t="shared" si="107"/>
        <v>4.2986428342702165E-2</v>
      </c>
      <c r="Z928" s="23">
        <f t="shared" si="108"/>
        <v>3.5134937508116693E-3</v>
      </c>
      <c r="AA928" s="36"/>
    </row>
    <row r="929" spans="4:27" ht="13.9" customHeight="1">
      <c r="D929" s="8"/>
      <c r="E929" s="9"/>
      <c r="F929" s="19"/>
      <c r="G929" s="19"/>
      <c r="H929" s="19"/>
      <c r="J929" s="45"/>
      <c r="K929" s="45"/>
      <c r="L929" s="45"/>
      <c r="M929" s="43"/>
      <c r="O929" s="12">
        <f t="shared" si="102"/>
        <v>76.333333333333329</v>
      </c>
      <c r="P929" s="13">
        <v>916</v>
      </c>
      <c r="Q929" s="22">
        <v>2.7348851294478393E-2</v>
      </c>
      <c r="R929" s="19">
        <f t="shared" si="103"/>
        <v>2.8116340863715283E-2</v>
      </c>
      <c r="S929" s="22">
        <v>3.8019804478095054E-2</v>
      </c>
      <c r="T929" s="19">
        <f t="shared" si="104"/>
        <v>4.2987968856074588E-2</v>
      </c>
      <c r="U929" s="24">
        <v>3.9644473758544407E-2</v>
      </c>
      <c r="V929" s="24">
        <f t="shared" si="105"/>
        <v>4.2986109577357601E-2</v>
      </c>
      <c r="W929" s="23">
        <f t="shared" si="106"/>
        <v>3.5134681214028518E-3</v>
      </c>
      <c r="X929" s="24">
        <v>3.9317095533313751E-2</v>
      </c>
      <c r="Y929" s="24">
        <f t="shared" si="107"/>
        <v>4.2986566252352754E-2</v>
      </c>
      <c r="Z929" s="23">
        <f t="shared" si="108"/>
        <v>3.5135049218768533E-3</v>
      </c>
      <c r="AA929" s="36"/>
    </row>
    <row r="930" spans="4:27" ht="13.9" customHeight="1">
      <c r="D930" s="8"/>
      <c r="E930" s="9"/>
      <c r="F930" s="19"/>
      <c r="G930" s="19"/>
      <c r="H930" s="19"/>
      <c r="J930" s="45"/>
      <c r="K930" s="45"/>
      <c r="L930" s="45"/>
      <c r="M930" s="43"/>
      <c r="O930" s="12">
        <f t="shared" si="102"/>
        <v>76.416666666666671</v>
      </c>
      <c r="P930" s="13">
        <v>917</v>
      </c>
      <c r="Q930" s="22">
        <v>2.7349687939347112E-2</v>
      </c>
      <c r="R930" s="19">
        <f t="shared" si="103"/>
        <v>2.8118200748711075E-2</v>
      </c>
      <c r="S930" s="22">
        <v>3.8025209413517613E-2</v>
      </c>
      <c r="T930" s="19">
        <f t="shared" si="104"/>
        <v>4.2988097792724611E-2</v>
      </c>
      <c r="U930" s="24">
        <v>3.9648112016752224E-2</v>
      </c>
      <c r="V930" s="24">
        <f t="shared" si="105"/>
        <v>4.2986248386518211E-2</v>
      </c>
      <c r="W930" s="23">
        <f t="shared" si="106"/>
        <v>3.5134793634288286E-3</v>
      </c>
      <c r="X930" s="24">
        <v>3.9321090097268696E-2</v>
      </c>
      <c r="Y930" s="24">
        <f t="shared" si="107"/>
        <v>4.2986702760452911E-2</v>
      </c>
      <c r="Z930" s="23">
        <f t="shared" si="108"/>
        <v>3.5135159794024151E-3</v>
      </c>
      <c r="AA930" s="36"/>
    </row>
    <row r="931" spans="4:27" ht="13.9" customHeight="1">
      <c r="D931" s="8"/>
      <c r="E931" s="9"/>
      <c r="F931" s="19"/>
      <c r="G931" s="19"/>
      <c r="H931" s="19"/>
      <c r="J931" s="45"/>
      <c r="K931" s="45"/>
      <c r="L931" s="45"/>
      <c r="M931" s="43"/>
      <c r="O931" s="12">
        <f t="shared" si="102"/>
        <v>76.5</v>
      </c>
      <c r="P931" s="13">
        <v>918</v>
      </c>
      <c r="Q931" s="22">
        <v>2.735052478664679E-2</v>
      </c>
      <c r="R931" s="19">
        <f t="shared" si="103"/>
        <v>2.812004513621047E-2</v>
      </c>
      <c r="S931" s="22">
        <v>3.803060274131953E-2</v>
      </c>
      <c r="T931" s="19">
        <f t="shared" si="104"/>
        <v>4.2988225347710074E-2</v>
      </c>
      <c r="U931" s="24">
        <v>3.9651742511886967E-2</v>
      </c>
      <c r="V931" s="24">
        <f t="shared" si="105"/>
        <v>4.2986385808742478E-2</v>
      </c>
      <c r="W931" s="23">
        <f t="shared" si="106"/>
        <v>3.5134904930795852E-3</v>
      </c>
      <c r="X931" s="24">
        <v>3.9325076121952351E-2</v>
      </c>
      <c r="Y931" s="24">
        <f t="shared" si="107"/>
        <v>4.2986837881383799E-2</v>
      </c>
      <c r="Z931" s="23">
        <f t="shared" si="108"/>
        <v>3.5135269245509804E-3</v>
      </c>
      <c r="AA931" s="36"/>
    </row>
    <row r="932" spans="4:27" ht="13.9" customHeight="1">
      <c r="D932" s="8"/>
      <c r="E932" s="9"/>
      <c r="F932" s="19"/>
      <c r="G932" s="19"/>
      <c r="H932" s="19"/>
      <c r="J932" s="45"/>
      <c r="K932" s="45"/>
      <c r="L932" s="45"/>
      <c r="M932" s="43"/>
      <c r="O932" s="12">
        <f t="shared" si="102"/>
        <v>76.583333333333329</v>
      </c>
      <c r="P932" s="13">
        <v>919</v>
      </c>
      <c r="Q932" s="22">
        <v>2.7351361818864772E-2</v>
      </c>
      <c r="R932" s="19">
        <f t="shared" si="103"/>
        <v>2.8121874155264015E-2</v>
      </c>
      <c r="S932" s="22">
        <v>3.8035984497807318E-2</v>
      </c>
      <c r="T932" s="19">
        <f t="shared" si="104"/>
        <v>4.2988351535785396E-2</v>
      </c>
      <c r="U932" s="24">
        <v>3.965536526774649E-2</v>
      </c>
      <c r="V932" s="24">
        <f t="shared" si="105"/>
        <v>4.2986521857444115E-2</v>
      </c>
      <c r="W932" s="23">
        <f t="shared" si="106"/>
        <v>3.5135015115252966E-3</v>
      </c>
      <c r="X932" s="24">
        <v>3.9329053633688105E-2</v>
      </c>
      <c r="Y932" s="24">
        <f t="shared" si="107"/>
        <v>4.2986971629141335E-2</v>
      </c>
      <c r="Z932" s="23">
        <f t="shared" si="108"/>
        <v>3.5135377584756267E-3</v>
      </c>
      <c r="AA932" s="36"/>
    </row>
    <row r="933" spans="4:27" ht="13.9" customHeight="1">
      <c r="D933" s="8"/>
      <c r="E933" s="9"/>
      <c r="F933" s="19"/>
      <c r="G933" s="19"/>
      <c r="H933" s="19"/>
      <c r="J933" s="45"/>
      <c r="K933" s="45"/>
      <c r="L933" s="45"/>
      <c r="M933" s="43"/>
      <c r="O933" s="12">
        <f t="shared" si="102"/>
        <v>76.666666666666671</v>
      </c>
      <c r="P933" s="13">
        <v>920</v>
      </c>
      <c r="Q933" s="22">
        <v>2.7352199018704892E-2</v>
      </c>
      <c r="R933" s="19">
        <f t="shared" si="103"/>
        <v>2.8123687935134756E-2</v>
      </c>
      <c r="S933" s="22">
        <v>3.8041354719146048E-2</v>
      </c>
      <c r="T933" s="19">
        <f t="shared" si="104"/>
        <v>4.2988476371301987E-2</v>
      </c>
      <c r="U933" s="24">
        <v>3.9658980308039604E-2</v>
      </c>
      <c r="V933" s="24">
        <f t="shared" si="105"/>
        <v>4.2986656546246671E-2</v>
      </c>
      <c r="W933" s="23">
        <f t="shared" si="106"/>
        <v>3.5135124198413248E-3</v>
      </c>
      <c r="X933" s="24">
        <v>3.9333022658700312E-2</v>
      </c>
      <c r="Y933" s="24">
        <f t="shared" si="107"/>
        <v>4.2987104017637501E-2</v>
      </c>
      <c r="Z933" s="23">
        <f t="shared" si="108"/>
        <v>3.5135484822990115E-3</v>
      </c>
      <c r="AA933" s="36"/>
    </row>
    <row r="934" spans="4:27" ht="13.9" customHeight="1">
      <c r="D934" s="8"/>
      <c r="E934" s="9"/>
      <c r="F934" s="19"/>
      <c r="G934" s="19"/>
      <c r="H934" s="19"/>
      <c r="J934" s="45"/>
      <c r="K934" s="45"/>
      <c r="L934" s="45"/>
      <c r="M934" s="43"/>
      <c r="O934" s="12">
        <f t="shared" si="102"/>
        <v>76.75</v>
      </c>
      <c r="P934" s="13">
        <v>921</v>
      </c>
      <c r="Q934" s="22">
        <v>2.735303636908637E-2</v>
      </c>
      <c r="R934" s="19">
        <f t="shared" si="103"/>
        <v>2.8125486603257421E-2</v>
      </c>
      <c r="S934" s="22">
        <v>3.8046713441359792E-2</v>
      </c>
      <c r="T934" s="19">
        <f t="shared" si="104"/>
        <v>4.2988599868568622E-2</v>
      </c>
      <c r="U934" s="24">
        <v>3.9662587656387416E-2</v>
      </c>
      <c r="V934" s="24">
        <f t="shared" si="105"/>
        <v>4.2986789888963095E-2</v>
      </c>
      <c r="W934" s="23">
        <f t="shared" si="106"/>
        <v>3.5135232191199073E-3</v>
      </c>
      <c r="X934" s="24">
        <v>3.9336983223114519E-2</v>
      </c>
      <c r="Y934" s="24">
        <f t="shared" si="107"/>
        <v>4.2987235060744311E-2</v>
      </c>
      <c r="Z934" s="23">
        <f t="shared" si="108"/>
        <v>3.5135590971360209E-3</v>
      </c>
      <c r="AA934" s="36"/>
    </row>
    <row r="935" spans="4:27" ht="13.9" customHeight="1">
      <c r="D935" s="8"/>
      <c r="E935" s="9"/>
      <c r="F935" s="19"/>
      <c r="G935" s="19"/>
      <c r="H935" s="19"/>
      <c r="J935" s="45"/>
      <c r="K935" s="45"/>
      <c r="L935" s="45"/>
      <c r="M935" s="43"/>
      <c r="O935" s="12">
        <f t="shared" si="102"/>
        <v>76.833333333333329</v>
      </c>
      <c r="P935" s="13">
        <v>922</v>
      </c>
      <c r="Q935" s="22">
        <v>2.7353873853140476E-2</v>
      </c>
      <c r="R935" s="19">
        <f t="shared" si="103"/>
        <v>2.8127270285494443E-2</v>
      </c>
      <c r="S935" s="22">
        <v>3.8052060700331847E-2</v>
      </c>
      <c r="T935" s="19">
        <f t="shared" si="104"/>
        <v>4.2988722042464067E-2</v>
      </c>
      <c r="U935" s="24">
        <v>3.9666187336323322E-2</v>
      </c>
      <c r="V935" s="24">
        <f t="shared" si="105"/>
        <v>4.2986921899379249E-2</v>
      </c>
      <c r="W935" s="23">
        <f t="shared" si="106"/>
        <v>3.5135339104690466E-3</v>
      </c>
      <c r="X935" s="24">
        <v>3.9340935352958573E-2</v>
      </c>
      <c r="Y935" s="24">
        <f t="shared" si="107"/>
        <v>4.2987364772128389E-2</v>
      </c>
      <c r="Z935" s="23">
        <f t="shared" si="108"/>
        <v>3.5135696040993203E-3</v>
      </c>
      <c r="AA935" s="36"/>
    </row>
    <row r="936" spans="4:27" ht="13.9" customHeight="1">
      <c r="D936" s="8"/>
      <c r="E936" s="9"/>
      <c r="F936" s="19"/>
      <c r="G936" s="19"/>
      <c r="H936" s="19"/>
      <c r="J936" s="45"/>
      <c r="K936" s="45"/>
      <c r="L936" s="45"/>
      <c r="M936" s="43"/>
      <c r="O936" s="12">
        <f t="shared" si="102"/>
        <v>76.916666666666671</v>
      </c>
      <c r="P936" s="13">
        <v>923</v>
      </c>
      <c r="Q936" s="22">
        <v>2.7354711454208092E-2</v>
      </c>
      <c r="R936" s="19">
        <f t="shared" si="103"/>
        <v>2.8129039107741782E-2</v>
      </c>
      <c r="S936" s="22">
        <v>3.8057396531806509E-2</v>
      </c>
      <c r="T936" s="19">
        <f t="shared" si="104"/>
        <v>4.2988842907028646E-2</v>
      </c>
      <c r="U936" s="24">
        <v>3.9669779371293901E-2</v>
      </c>
      <c r="V936" s="24">
        <f t="shared" si="105"/>
        <v>4.2987052590257147E-2</v>
      </c>
      <c r="W936" s="23">
        <f t="shared" si="106"/>
        <v>3.5135444949934147E-3</v>
      </c>
      <c r="X936" s="24">
        <v>3.9344879074161732E-2</v>
      </c>
      <c r="Y936" s="24">
        <f t="shared" si="107"/>
        <v>4.2987493165444812E-2</v>
      </c>
      <c r="Z936" s="23">
        <f t="shared" si="108"/>
        <v>3.5135800042846999E-3</v>
      </c>
      <c r="AA936" s="36"/>
    </row>
    <row r="937" spans="4:27" ht="13.9" customHeight="1">
      <c r="D937" s="8"/>
      <c r="E937" s="9"/>
      <c r="F937" s="19"/>
      <c r="G937" s="19"/>
      <c r="H937" s="19"/>
      <c r="J937" s="45"/>
      <c r="K937" s="45"/>
      <c r="L937" s="45"/>
      <c r="M937" s="43"/>
      <c r="O937" s="12">
        <f t="shared" si="102"/>
        <v>77</v>
      </c>
      <c r="P937" s="13">
        <v>924</v>
      </c>
      <c r="Q937" s="22">
        <v>2.7355549155838377E-2</v>
      </c>
      <c r="R937" s="19">
        <f t="shared" si="103"/>
        <v>2.8130793194154124E-2</v>
      </c>
      <c r="S937" s="22">
        <v>3.8062720971388853E-2</v>
      </c>
      <c r="T937" s="19">
        <f t="shared" si="104"/>
        <v>4.298896247614592E-2</v>
      </c>
      <c r="U937" s="24">
        <v>3.9673363784658244E-2</v>
      </c>
      <c r="V937" s="24">
        <f t="shared" si="105"/>
        <v>4.2987181975023825E-2</v>
      </c>
      <c r="W937" s="23">
        <f t="shared" si="106"/>
        <v>3.5135549737170813E-3</v>
      </c>
      <c r="X937" s="24">
        <v>3.9348814412556665E-2</v>
      </c>
      <c r="Y937" s="24">
        <f t="shared" si="107"/>
        <v>4.2987620253737147E-2</v>
      </c>
      <c r="Z937" s="23">
        <f t="shared" si="108"/>
        <v>3.5135902987870615E-3</v>
      </c>
      <c r="AA937" s="36"/>
    </row>
    <row r="938" spans="4:27" ht="13.9" customHeight="1">
      <c r="D938" s="8"/>
      <c r="E938" s="9"/>
      <c r="F938" s="19"/>
      <c r="G938" s="19"/>
      <c r="H938" s="19"/>
      <c r="J938" s="45"/>
      <c r="K938" s="45"/>
      <c r="L938" s="45"/>
      <c r="M938" s="43"/>
      <c r="O938" s="12">
        <f t="shared" si="102"/>
        <v>77.083333333333329</v>
      </c>
      <c r="P938" s="13">
        <v>925</v>
      </c>
      <c r="Q938" s="22">
        <v>2.735638694178566E-2</v>
      </c>
      <c r="R938" s="19">
        <f t="shared" si="103"/>
        <v>2.8132532667576982E-2</v>
      </c>
      <c r="S938" s="22">
        <v>3.8068034054545175E-2</v>
      </c>
      <c r="T938" s="19">
        <f t="shared" si="104"/>
        <v>4.2989080763552456E-2</v>
      </c>
      <c r="U938" s="24">
        <v>3.9676940599688848E-2</v>
      </c>
      <c r="V938" s="24">
        <f t="shared" si="105"/>
        <v>4.2987310066679552E-2</v>
      </c>
      <c r="W938" s="23">
        <f t="shared" si="106"/>
        <v>3.5135653477160744E-3</v>
      </c>
      <c r="X938" s="24">
        <v>3.9352741393878121E-2</v>
      </c>
      <c r="Y938" s="24">
        <f t="shared" si="107"/>
        <v>4.2987746050741515E-2</v>
      </c>
      <c r="Z938" s="23">
        <f t="shared" si="108"/>
        <v>3.5136004886520134E-3</v>
      </c>
      <c r="AA938" s="36"/>
    </row>
    <row r="939" spans="4:27" ht="13.9" customHeight="1">
      <c r="D939" s="8"/>
      <c r="E939" s="9"/>
      <c r="F939" s="19"/>
      <c r="G939" s="19"/>
      <c r="H939" s="19"/>
      <c r="J939" s="45"/>
      <c r="K939" s="45"/>
      <c r="L939" s="45"/>
      <c r="M939" s="43"/>
      <c r="O939" s="12">
        <f t="shared" si="102"/>
        <v>77.166666666666671</v>
      </c>
      <c r="P939" s="13">
        <v>926</v>
      </c>
      <c r="Q939" s="22">
        <v>2.7357224796006996E-2</v>
      </c>
      <c r="R939" s="19">
        <f t="shared" si="103"/>
        <v>2.8134257650687999E-2</v>
      </c>
      <c r="S939" s="22">
        <v>3.8073335816603882E-2</v>
      </c>
      <c r="T939" s="19">
        <f t="shared" si="104"/>
        <v>4.2989197783353195E-2</v>
      </c>
      <c r="U939" s="24">
        <v>3.9680509839571831E-2</v>
      </c>
      <c r="V939" s="24">
        <f t="shared" si="105"/>
        <v>4.2987436878094698E-2</v>
      </c>
      <c r="W939" s="23">
        <f t="shared" si="106"/>
        <v>3.5135756180328936E-3</v>
      </c>
      <c r="X939" s="24">
        <v>3.9356660043764702E-2</v>
      </c>
      <c r="Y939" s="24">
        <f t="shared" si="107"/>
        <v>4.2987870569112685E-2</v>
      </c>
      <c r="Z939" s="23">
        <f t="shared" si="108"/>
        <v>3.5136105749811186E-3</v>
      </c>
      <c r="AA939" s="36"/>
    </row>
    <row r="940" spans="4:27" ht="13.9" customHeight="1">
      <c r="D940" s="8"/>
      <c r="E940" s="9"/>
      <c r="F940" s="19"/>
      <c r="G940" s="19"/>
      <c r="H940" s="19"/>
      <c r="J940" s="45"/>
      <c r="K940" s="45"/>
      <c r="L940" s="45"/>
      <c r="M940" s="43"/>
      <c r="O940" s="12">
        <f t="shared" si="102"/>
        <v>77.25</v>
      </c>
      <c r="P940" s="13">
        <v>927</v>
      </c>
      <c r="Q940" s="22">
        <v>2.7358062702661279E-2</v>
      </c>
      <c r="R940" s="19">
        <f t="shared" si="103"/>
        <v>2.8135968264447309E-2</v>
      </c>
      <c r="S940" s="22">
        <v>3.8078626292756157E-2</v>
      </c>
      <c r="T940" s="19">
        <f t="shared" si="104"/>
        <v>4.2989313549141039E-2</v>
      </c>
      <c r="U940" s="24">
        <v>3.9684071527407605E-2</v>
      </c>
      <c r="V940" s="24">
        <f t="shared" si="105"/>
        <v>4.2987562422265313E-2</v>
      </c>
      <c r="W940" s="23">
        <f t="shared" si="106"/>
        <v>3.5135857856998243E-3</v>
      </c>
      <c r="X940" s="24">
        <v>3.9360570387758198E-2</v>
      </c>
      <c r="Y940" s="24">
        <f t="shared" si="107"/>
        <v>4.2987993822234394E-2</v>
      </c>
      <c r="Z940" s="23">
        <f t="shared" si="108"/>
        <v>3.5136205587891212E-3</v>
      </c>
      <c r="AA940" s="36"/>
    </row>
    <row r="941" spans="4:27" ht="13.9" customHeight="1">
      <c r="D941" s="8"/>
      <c r="E941" s="9"/>
      <c r="F941" s="19"/>
      <c r="G941" s="19"/>
      <c r="H941" s="19"/>
      <c r="J941" s="45"/>
      <c r="K941" s="45"/>
      <c r="L941" s="45"/>
      <c r="M941" s="43"/>
      <c r="O941" s="12">
        <f t="shared" si="102"/>
        <v>77.333333333333329</v>
      </c>
      <c r="P941" s="13">
        <v>928</v>
      </c>
      <c r="Q941" s="22">
        <v>2.7358900646105466E-2</v>
      </c>
      <c r="R941" s="19">
        <f t="shared" si="103"/>
        <v>2.8137664629237724E-2</v>
      </c>
      <c r="S941" s="22">
        <v>3.8083905518056405E-2</v>
      </c>
      <c r="T941" s="19">
        <f t="shared" si="104"/>
        <v>4.2989428073798575E-2</v>
      </c>
      <c r="U941" s="24">
        <v>3.9687625686210648E-2</v>
      </c>
      <c r="V941" s="24">
        <f t="shared" si="105"/>
        <v>4.298768671192188E-2</v>
      </c>
      <c r="W941" s="23">
        <f t="shared" si="106"/>
        <v>3.5135958517584776E-3</v>
      </c>
      <c r="X941" s="24">
        <v>3.9364472451304922E-2</v>
      </c>
      <c r="Y941" s="24">
        <f t="shared" si="107"/>
        <v>4.2988115823067385E-2</v>
      </c>
      <c r="Z941" s="23">
        <f t="shared" si="108"/>
        <v>3.5136304411491626E-3</v>
      </c>
      <c r="AA941" s="36"/>
    </row>
    <row r="942" spans="4:27" ht="13.9" customHeight="1">
      <c r="D942" s="8"/>
      <c r="E942" s="9"/>
      <c r="F942" s="19"/>
      <c r="G942" s="19"/>
      <c r="H942" s="19"/>
      <c r="J942" s="45"/>
      <c r="K942" s="45"/>
      <c r="L942" s="45"/>
      <c r="M942" s="43"/>
      <c r="O942" s="12">
        <f t="shared" si="102"/>
        <v>77.416666666666671</v>
      </c>
      <c r="P942" s="13">
        <v>929</v>
      </c>
      <c r="Q942" s="22">
        <v>2.7359738610893691E-2</v>
      </c>
      <c r="R942" s="19">
        <f t="shared" si="103"/>
        <v>2.8139346863747194E-2</v>
      </c>
      <c r="S942" s="22">
        <v>3.8089173527422693E-2</v>
      </c>
      <c r="T942" s="19">
        <f t="shared" si="104"/>
        <v>4.2989541371495354E-2</v>
      </c>
      <c r="U942" s="24">
        <v>3.9691172338910397E-2</v>
      </c>
      <c r="V942" s="24">
        <f t="shared" si="105"/>
        <v>4.2987809759035045E-2</v>
      </c>
      <c r="W942" s="23">
        <f t="shared" si="106"/>
        <v>3.5136058172300366E-3</v>
      </c>
      <c r="X942" s="24">
        <v>3.9368366259755483E-2</v>
      </c>
      <c r="Y942" s="24">
        <f t="shared" si="107"/>
        <v>4.2988236583256789E-2</v>
      </c>
      <c r="Z942" s="23">
        <f t="shared" si="108"/>
        <v>3.5136402231004116E-3</v>
      </c>
      <c r="AA942" s="36"/>
    </row>
    <row r="943" spans="4:27" ht="13.9" customHeight="1">
      <c r="D943" s="8"/>
      <c r="E943" s="9"/>
      <c r="F943" s="19"/>
      <c r="G943" s="19"/>
      <c r="H943" s="19"/>
      <c r="J943" s="45"/>
      <c r="K943" s="45"/>
      <c r="L943" s="45"/>
      <c r="M943" s="43"/>
      <c r="O943" s="12">
        <f t="shared" si="102"/>
        <v>77.5</v>
      </c>
      <c r="P943" s="13">
        <v>930</v>
      </c>
      <c r="Q943" s="22">
        <v>2.7360576581774154E-2</v>
      </c>
      <c r="R943" s="19">
        <f t="shared" si="103"/>
        <v>2.8141015086437626E-2</v>
      </c>
      <c r="S943" s="22">
        <v>3.8094430355637865E-2</v>
      </c>
      <c r="T943" s="19">
        <f t="shared" si="104"/>
        <v>4.2989653454556409E-2</v>
      </c>
      <c r="U943" s="24">
        <v>3.9694711508350577E-2</v>
      </c>
      <c r="V943" s="24">
        <f t="shared" si="105"/>
        <v>4.2987931576693672E-2</v>
      </c>
      <c r="W943" s="23">
        <f t="shared" si="106"/>
        <v>3.5136156830739562E-3</v>
      </c>
      <c r="X943" s="24">
        <v>3.9372251838364569E-2</v>
      </c>
      <c r="Y943" s="24">
        <f t="shared" si="107"/>
        <v>4.2988356117086957E-2</v>
      </c>
      <c r="Z943" s="23">
        <f t="shared" si="108"/>
        <v>3.5136499055765658E-3</v>
      </c>
      <c r="AA943" s="36"/>
    </row>
    <row r="944" spans="4:27" ht="13.9" customHeight="1">
      <c r="D944" s="8"/>
      <c r="E944" s="9"/>
      <c r="F944" s="19"/>
      <c r="G944" s="19"/>
      <c r="H944" s="19"/>
      <c r="J944" s="45"/>
      <c r="K944" s="45"/>
      <c r="L944" s="45"/>
      <c r="M944" s="43"/>
      <c r="O944" s="12">
        <f t="shared" si="102"/>
        <v>77.583333333333329</v>
      </c>
      <c r="P944" s="13">
        <v>931</v>
      </c>
      <c r="Q944" s="22">
        <v>2.7361414543687346E-2</v>
      </c>
      <c r="R944" s="19">
        <f t="shared" si="103"/>
        <v>2.8142669414157551E-2</v>
      </c>
      <c r="S944" s="22">
        <v>3.8099676037349095E-2</v>
      </c>
      <c r="T944" s="19">
        <f t="shared" si="104"/>
        <v>4.2989764336309966E-2</v>
      </c>
      <c r="U944" s="24">
        <v>3.9698243217290985E-2</v>
      </c>
      <c r="V944" s="24">
        <f t="shared" si="105"/>
        <v>4.2988052177054925E-2</v>
      </c>
      <c r="W944" s="23">
        <f t="shared" si="106"/>
        <v>3.5136254503398412E-3</v>
      </c>
      <c r="X944" s="24">
        <v>3.9376129212293387E-2</v>
      </c>
      <c r="Y944" s="24">
        <f t="shared" si="107"/>
        <v>4.2988474436041368E-2</v>
      </c>
      <c r="Z944" s="23">
        <f t="shared" si="108"/>
        <v>3.5136594897231532E-3</v>
      </c>
      <c r="AA944" s="36"/>
    </row>
    <row r="945" spans="4:27" ht="13.9" customHeight="1">
      <c r="D945" s="8"/>
      <c r="E945" s="9"/>
      <c r="F945" s="19"/>
      <c r="G945" s="19"/>
      <c r="H945" s="19"/>
      <c r="J945" s="45"/>
      <c r="K945" s="45"/>
      <c r="L945" s="45"/>
      <c r="M945" s="43"/>
      <c r="O945" s="12">
        <f t="shared" si="102"/>
        <v>77.666666666666671</v>
      </c>
      <c r="P945" s="13">
        <v>932</v>
      </c>
      <c r="Q945" s="22">
        <v>2.7362252481764271E-2</v>
      </c>
      <c r="R945" s="19">
        <f t="shared" si="103"/>
        <v>2.8144309963693548E-2</v>
      </c>
      <c r="S945" s="22">
        <v>3.8104910607069442E-2</v>
      </c>
      <c r="T945" s="19">
        <f t="shared" si="104"/>
        <v>4.298987402995591E-2</v>
      </c>
      <c r="U945" s="24">
        <v>3.9701767488406814E-2</v>
      </c>
      <c r="V945" s="24">
        <f t="shared" si="105"/>
        <v>4.2988171571942013E-2</v>
      </c>
      <c r="W945" s="23">
        <f t="shared" si="106"/>
        <v>3.5136351200026894E-3</v>
      </c>
      <c r="X945" s="24">
        <v>3.9379998406607664E-2</v>
      </c>
      <c r="Y945" s="24">
        <f t="shared" si="107"/>
        <v>4.2988591552183042E-2</v>
      </c>
      <c r="Z945" s="23">
        <f t="shared" si="108"/>
        <v>3.5136689764605489E-3</v>
      </c>
      <c r="AA945" s="36"/>
    </row>
    <row r="946" spans="4:27" ht="13.9" customHeight="1">
      <c r="D946" s="8"/>
      <c r="E946" s="9"/>
      <c r="F946" s="19"/>
      <c r="G946" s="19"/>
      <c r="H946" s="19"/>
      <c r="J946" s="45"/>
      <c r="K946" s="45"/>
      <c r="L946" s="45"/>
      <c r="M946" s="43"/>
      <c r="O946" s="12">
        <f t="shared" si="102"/>
        <v>77.75</v>
      </c>
      <c r="P946" s="13">
        <v>933</v>
      </c>
      <c r="Q946" s="22">
        <v>2.7363090381324229E-2</v>
      </c>
      <c r="R946" s="19">
        <f t="shared" si="103"/>
        <v>2.8145936849197639E-2</v>
      </c>
      <c r="S946" s="22">
        <v>3.8110134099178294E-2</v>
      </c>
      <c r="T946" s="19">
        <f t="shared" si="104"/>
        <v>4.2989982547913641E-2</v>
      </c>
      <c r="U946" s="24">
        <v>3.9705284344288883E-2</v>
      </c>
      <c r="V946" s="24">
        <f t="shared" si="105"/>
        <v>4.2988289773481903E-2</v>
      </c>
      <c r="W946" s="23">
        <f t="shared" si="106"/>
        <v>3.5136446930104093E-3</v>
      </c>
      <c r="X946" s="24">
        <v>3.9383859446278979E-2</v>
      </c>
      <c r="Y946" s="24">
        <f t="shared" si="107"/>
        <v>4.2988707478498256E-2</v>
      </c>
      <c r="Z946" s="23">
        <f t="shared" si="108"/>
        <v>3.5136783667564231E-3</v>
      </c>
      <c r="AA946" s="36"/>
    </row>
    <row r="947" spans="4:27" ht="13.9" customHeight="1">
      <c r="D947" s="8"/>
      <c r="E947" s="9"/>
      <c r="F947" s="19"/>
      <c r="G947" s="19"/>
      <c r="H947" s="19"/>
      <c r="J947" s="45"/>
      <c r="K947" s="45"/>
      <c r="L947" s="45"/>
      <c r="M947" s="43"/>
      <c r="O947" s="12">
        <f t="shared" si="102"/>
        <v>77.833333333333329</v>
      </c>
      <c r="P947" s="13">
        <v>934</v>
      </c>
      <c r="Q947" s="22">
        <v>2.7363928227871925E-2</v>
      </c>
      <c r="R947" s="19">
        <f t="shared" si="103"/>
        <v>2.8147550186181203E-2</v>
      </c>
      <c r="S947" s="22">
        <v>3.8115346547921369E-2</v>
      </c>
      <c r="T947" s="19">
        <f t="shared" si="104"/>
        <v>4.2990089902649853E-2</v>
      </c>
      <c r="U947" s="24">
        <v>3.9708793807444298E-2</v>
      </c>
      <c r="V947" s="24">
        <f t="shared" si="105"/>
        <v>4.2988406793908363E-2</v>
      </c>
      <c r="W947" s="23">
        <f t="shared" si="106"/>
        <v>3.5136541703351121E-3</v>
      </c>
      <c r="X947" s="24">
        <v>3.9387712356185656E-2</v>
      </c>
      <c r="Y947" s="24">
        <f t="shared" si="107"/>
        <v>4.298882222642697E-2</v>
      </c>
      <c r="Z947" s="23">
        <f t="shared" si="108"/>
        <v>3.513687661651721E-3</v>
      </c>
      <c r="AA947" s="36"/>
    </row>
    <row r="948" spans="4:27" ht="13.9" customHeight="1">
      <c r="D948" s="8"/>
      <c r="E948" s="9"/>
      <c r="F948" s="19"/>
      <c r="G948" s="19"/>
      <c r="H948" s="19"/>
      <c r="J948" s="45"/>
      <c r="K948" s="45"/>
      <c r="L948" s="45"/>
      <c r="M948" s="43"/>
      <c r="O948" s="12">
        <f t="shared" si="102"/>
        <v>77.916666666666671</v>
      </c>
      <c r="P948" s="13">
        <v>935</v>
      </c>
      <c r="Q948" s="22">
        <v>2.7364766007097252E-2</v>
      </c>
      <c r="R948" s="19">
        <f t="shared" si="103"/>
        <v>2.8149150086245411E-2</v>
      </c>
      <c r="S948" s="22">
        <v>3.8120547987411602E-2</v>
      </c>
      <c r="T948" s="19">
        <f t="shared" si="104"/>
        <v>4.2990196107067113E-2</v>
      </c>
      <c r="U948" s="24">
        <v>3.9712295900297123E-2</v>
      </c>
      <c r="V948" s="24">
        <f t="shared" si="105"/>
        <v>4.2988522644910043E-2</v>
      </c>
      <c r="W948" s="23">
        <f t="shared" si="106"/>
        <v>3.5136635529580129E-3</v>
      </c>
      <c r="X948" s="24">
        <v>3.9391557161112312E-2</v>
      </c>
      <c r="Y948" s="24">
        <f t="shared" si="107"/>
        <v>4.2988935808665918E-2</v>
      </c>
      <c r="Z948" s="23">
        <f t="shared" si="108"/>
        <v>3.5136968620637088E-3</v>
      </c>
      <c r="AA948" s="36"/>
    </row>
    <row r="949" spans="4:27" ht="13.9" customHeight="1">
      <c r="D949" s="8"/>
      <c r="E949" s="9"/>
      <c r="F949" s="19"/>
      <c r="G949" s="19"/>
      <c r="H949" s="19"/>
      <c r="J949" s="45"/>
      <c r="K949" s="45"/>
      <c r="L949" s="45"/>
      <c r="M949" s="43"/>
      <c r="O949" s="12">
        <f t="shared" si="102"/>
        <v>78</v>
      </c>
      <c r="P949" s="13">
        <v>936</v>
      </c>
      <c r="Q949" s="22">
        <v>2.7365603704870622E-2</v>
      </c>
      <c r="R949" s="19">
        <f t="shared" si="103"/>
        <v>2.8150736663345333E-2</v>
      </c>
      <c r="S949" s="22">
        <v>3.8125738451630031E-2</v>
      </c>
      <c r="T949" s="19">
        <f t="shared" si="104"/>
        <v>4.2990301172997736E-2</v>
      </c>
      <c r="U949" s="24">
        <v>3.9715790645187932E-2</v>
      </c>
      <c r="V949" s="24">
        <f t="shared" si="105"/>
        <v>4.2988637337678437E-2</v>
      </c>
      <c r="W949" s="23">
        <f t="shared" si="106"/>
        <v>3.5136728418163621E-3</v>
      </c>
      <c r="X949" s="24">
        <v>3.9395393885750973E-2</v>
      </c>
      <c r="Y949" s="24">
        <f t="shared" si="107"/>
        <v>4.2989048236508731E-2</v>
      </c>
      <c r="Z949" s="23">
        <f t="shared" si="108"/>
        <v>3.5137059690106831E-3</v>
      </c>
      <c r="AA949" s="36"/>
    </row>
    <row r="950" spans="4:27" ht="13.9" customHeight="1">
      <c r="D950" s="8"/>
      <c r="E950" s="9"/>
      <c r="F950" s="19"/>
      <c r="G950" s="19"/>
      <c r="H950" s="19"/>
      <c r="J950" s="45"/>
      <c r="K950" s="45"/>
      <c r="L950" s="45"/>
      <c r="M950" s="43"/>
      <c r="O950" s="12">
        <f t="shared" si="102"/>
        <v>78.083333333333329</v>
      </c>
      <c r="P950" s="13">
        <v>937</v>
      </c>
      <c r="Q950" s="22">
        <v>2.7366441307244305E-2</v>
      </c>
      <c r="R950" s="19">
        <f t="shared" si="103"/>
        <v>2.8152310027560912E-2</v>
      </c>
      <c r="S950" s="22">
        <v>3.8130917974425804E-2</v>
      </c>
      <c r="T950" s="19">
        <f t="shared" si="104"/>
        <v>4.2990405113042307E-2</v>
      </c>
      <c r="U950" s="24">
        <v>3.9719278064374475E-2</v>
      </c>
      <c r="V950" s="24">
        <f t="shared" si="105"/>
        <v>4.2988750884743299E-2</v>
      </c>
      <c r="W950" s="23">
        <f t="shared" si="106"/>
        <v>3.5136820378072198E-3</v>
      </c>
      <c r="X950" s="24">
        <v>3.9399222554700852E-2</v>
      </c>
      <c r="Y950" s="24">
        <f t="shared" si="107"/>
        <v>4.298915952163207E-2</v>
      </c>
      <c r="Z950" s="23">
        <f t="shared" si="108"/>
        <v>3.5137149833981418E-3</v>
      </c>
      <c r="AA950" s="36"/>
    </row>
    <row r="951" spans="4:27" ht="13.9" customHeight="1">
      <c r="D951" s="8"/>
      <c r="E951" s="9"/>
      <c r="F951" s="19"/>
      <c r="G951" s="19"/>
      <c r="H951" s="19"/>
      <c r="J951" s="45"/>
      <c r="K951" s="45"/>
      <c r="L951" s="45"/>
      <c r="M951" s="43"/>
      <c r="O951" s="12">
        <f t="shared" si="102"/>
        <v>78.166666666666671</v>
      </c>
      <c r="P951" s="13">
        <v>938</v>
      </c>
      <c r="Q951" s="22">
        <v>2.7367278800447314E-2</v>
      </c>
      <c r="R951" s="19">
        <f t="shared" si="103"/>
        <v>2.8153870290161143E-2</v>
      </c>
      <c r="S951" s="22">
        <v>3.813608658951706E-2</v>
      </c>
      <c r="T951" s="19">
        <f t="shared" si="104"/>
        <v>4.2990507938936773E-2</v>
      </c>
      <c r="U951" s="24">
        <v>3.9722758180032569E-2</v>
      </c>
      <c r="V951" s="24">
        <f t="shared" si="105"/>
        <v>4.2988863296929525E-2</v>
      </c>
      <c r="W951" s="23">
        <f t="shared" si="106"/>
        <v>3.5136911419353378E-3</v>
      </c>
      <c r="X951" s="24">
        <v>3.9403043192468346E-2</v>
      </c>
      <c r="Y951" s="24">
        <f t="shared" si="107"/>
        <v>4.2989269676013464E-2</v>
      </c>
      <c r="Z951" s="23">
        <f t="shared" si="108"/>
        <v>3.513723906162225E-3</v>
      </c>
      <c r="AA951" s="36"/>
    </row>
    <row r="952" spans="4:27" ht="13.9" customHeight="1">
      <c r="D952" s="8"/>
      <c r="E952" s="9"/>
      <c r="F952" s="19"/>
      <c r="G952" s="19"/>
      <c r="H952" s="19"/>
      <c r="J952" s="45"/>
      <c r="K952" s="45"/>
      <c r="L952" s="45"/>
      <c r="M952" s="43"/>
      <c r="O952" s="12">
        <f t="shared" si="102"/>
        <v>78.25</v>
      </c>
      <c r="P952" s="13">
        <v>939</v>
      </c>
      <c r="Q952" s="22">
        <v>2.7368116170885637E-2</v>
      </c>
      <c r="R952" s="19">
        <f t="shared" si="103"/>
        <v>2.8155417560170815E-2</v>
      </c>
      <c r="S952" s="22">
        <v>3.8141244330491375E-2</v>
      </c>
      <c r="T952" s="19">
        <f t="shared" si="104"/>
        <v>4.2990609662987733E-2</v>
      </c>
      <c r="U952" s="24">
        <v>3.9726231014255431E-2</v>
      </c>
      <c r="V952" s="24">
        <f t="shared" si="105"/>
        <v>4.2988974585656203E-2</v>
      </c>
      <c r="W952" s="23">
        <f t="shared" si="106"/>
        <v>3.5137001550689106E-3</v>
      </c>
      <c r="X952" s="24">
        <v>3.9406855823468812E-2</v>
      </c>
      <c r="Y952" s="24">
        <f t="shared" si="107"/>
        <v>4.2989378711128845E-2</v>
      </c>
      <c r="Z952" s="23">
        <f t="shared" si="108"/>
        <v>3.5137327382632755E-3</v>
      </c>
      <c r="AA952" s="36"/>
    </row>
    <row r="953" spans="4:27" ht="13.9" customHeight="1">
      <c r="D953" s="8"/>
      <c r="E953" s="9"/>
      <c r="F953" s="19"/>
      <c r="G953" s="19"/>
      <c r="H953" s="19"/>
      <c r="J953" s="45"/>
      <c r="K953" s="45"/>
      <c r="L953" s="45"/>
      <c r="M953" s="43"/>
      <c r="O953" s="12">
        <f t="shared" si="102"/>
        <v>78.333333333333329</v>
      </c>
      <c r="P953" s="13">
        <v>940</v>
      </c>
      <c r="Q953" s="22">
        <v>2.7368953405139118E-2</v>
      </c>
      <c r="R953" s="19">
        <f t="shared" si="103"/>
        <v>2.8156951945959463E-2</v>
      </c>
      <c r="S953" s="22">
        <v>3.8146391230806431E-2</v>
      </c>
      <c r="T953" s="19">
        <f t="shared" si="104"/>
        <v>4.2990710296592738E-2</v>
      </c>
      <c r="U953" s="24">
        <v>3.9729696589054342E-2</v>
      </c>
      <c r="V953" s="24">
        <f t="shared" si="105"/>
        <v>4.2989084762018459E-2</v>
      </c>
      <c r="W953" s="23">
        <f t="shared" si="106"/>
        <v>3.5137090781232061E-3</v>
      </c>
      <c r="X953" s="24">
        <v>3.9410660472025683E-2</v>
      </c>
      <c r="Y953" s="24">
        <f t="shared" si="107"/>
        <v>4.2989486637914132E-2</v>
      </c>
      <c r="Z953" s="23">
        <f t="shared" si="108"/>
        <v>3.5137414806214462E-3</v>
      </c>
      <c r="AA953" s="36"/>
    </row>
    <row r="954" spans="4:27" ht="13.9" customHeight="1">
      <c r="D954" s="8"/>
      <c r="E954" s="9"/>
      <c r="F954" s="19"/>
      <c r="G954" s="19"/>
      <c r="H954" s="19"/>
      <c r="J954" s="45"/>
      <c r="K954" s="45"/>
      <c r="L954" s="45"/>
      <c r="M954" s="43"/>
      <c r="O954" s="12">
        <f t="shared" si="102"/>
        <v>78.416666666666671</v>
      </c>
      <c r="P954" s="13">
        <v>941</v>
      </c>
      <c r="Q954" s="22">
        <v>2.7369790489959689E-2</v>
      </c>
      <c r="R954" s="19">
        <f t="shared" si="103"/>
        <v>2.8158473555480956E-2</v>
      </c>
      <c r="S954" s="22">
        <v>3.8151527323790235E-2</v>
      </c>
      <c r="T954" s="19">
        <f t="shared" si="104"/>
        <v>4.2990809851910283E-2</v>
      </c>
      <c r="U954" s="24">
        <v>3.9733154926359093E-2</v>
      </c>
      <c r="V954" s="24">
        <f t="shared" si="105"/>
        <v>4.2989193837503104E-2</v>
      </c>
      <c r="W954" s="23">
        <f t="shared" si="106"/>
        <v>3.513717911988179E-3</v>
      </c>
      <c r="X954" s="24">
        <v>3.9414457162370908E-2</v>
      </c>
      <c r="Y954" s="24">
        <f t="shared" si="107"/>
        <v>4.2989593468279574E-2</v>
      </c>
      <c r="Z954" s="23">
        <f t="shared" si="108"/>
        <v>3.5137501341138133E-3</v>
      </c>
      <c r="AA954" s="36"/>
    </row>
    <row r="955" spans="4:27" ht="13.9" customHeight="1">
      <c r="D955" s="8"/>
      <c r="E955" s="9"/>
      <c r="F955" s="19"/>
      <c r="G955" s="19"/>
      <c r="H955" s="19"/>
      <c r="J955" s="45"/>
      <c r="K955" s="45"/>
      <c r="L955" s="45"/>
      <c r="M955" s="43"/>
      <c r="O955" s="12">
        <f t="shared" si="102"/>
        <v>78.5</v>
      </c>
      <c r="P955" s="13">
        <v>942</v>
      </c>
      <c r="Q955" s="22">
        <v>2.7370627412270254E-2</v>
      </c>
      <c r="R955" s="19">
        <f t="shared" si="103"/>
        <v>2.8159982495908897E-2</v>
      </c>
      <c r="S955" s="22">
        <v>3.8156652642642674E-2</v>
      </c>
      <c r="T955" s="19">
        <f t="shared" si="104"/>
        <v>4.2990908340238887E-2</v>
      </c>
      <c r="U955" s="24">
        <v>3.9736606048018652E-2</v>
      </c>
      <c r="V955" s="24">
        <f t="shared" si="105"/>
        <v>4.2989301822754067E-2</v>
      </c>
      <c r="W955" s="23">
        <f t="shared" si="106"/>
        <v>3.5137266575846482E-3</v>
      </c>
      <c r="X955" s="24">
        <v>3.9418245918646289E-2</v>
      </c>
      <c r="Y955" s="24">
        <f t="shared" si="107"/>
        <v>4.2989699212646393E-2</v>
      </c>
      <c r="Z955" s="23">
        <f t="shared" si="108"/>
        <v>3.5137586996951686E-3</v>
      </c>
      <c r="AA955" s="36"/>
    </row>
    <row r="956" spans="4:27" ht="13.9" customHeight="1">
      <c r="D956" s="8"/>
      <c r="E956" s="9"/>
      <c r="F956" s="19"/>
      <c r="G956" s="19"/>
      <c r="H956" s="19"/>
      <c r="J956" s="45"/>
      <c r="K956" s="45"/>
      <c r="L956" s="45"/>
      <c r="M956" s="43"/>
      <c r="O956" s="12">
        <f t="shared" si="102"/>
        <v>78.583333333333329</v>
      </c>
      <c r="P956" s="13">
        <v>943</v>
      </c>
      <c r="Q956" s="22">
        <v>2.7371464159162473E-2</v>
      </c>
      <c r="R956" s="19">
        <f t="shared" si="103"/>
        <v>2.8161478872027468E-2</v>
      </c>
      <c r="S956" s="22">
        <v>3.8161767220434628E-2</v>
      </c>
      <c r="T956" s="19">
        <f t="shared" si="104"/>
        <v>4.2991005772965663E-2</v>
      </c>
      <c r="U956" s="24">
        <v>3.9740049975800495E-2</v>
      </c>
      <c r="V956" s="24">
        <f t="shared" si="105"/>
        <v>4.2989408729245726E-2</v>
      </c>
      <c r="W956" s="23">
        <f t="shared" si="106"/>
        <v>3.5137353157661533E-3</v>
      </c>
      <c r="X956" s="24">
        <v>3.9422026764902585E-2</v>
      </c>
      <c r="Y956" s="24">
        <f t="shared" si="107"/>
        <v>4.2989803882599764E-2</v>
      </c>
      <c r="Z956" s="23">
        <f t="shared" si="108"/>
        <v>3.513767178201066E-3</v>
      </c>
      <c r="AA956" s="36"/>
    </row>
    <row r="957" spans="4:27" ht="13.9" customHeight="1">
      <c r="D957" s="8"/>
      <c r="E957" s="9"/>
      <c r="F957" s="19"/>
      <c r="G957" s="19"/>
      <c r="H957" s="19"/>
      <c r="J957" s="45"/>
      <c r="K957" s="45"/>
      <c r="L957" s="45"/>
      <c r="M957" s="43"/>
      <c r="O957" s="12">
        <f t="shared" si="102"/>
        <v>78.666666666666671</v>
      </c>
      <c r="P957" s="13">
        <v>944</v>
      </c>
      <c r="Q957" s="22">
        <v>2.7372300717893872E-2</v>
      </c>
      <c r="R957" s="19">
        <f t="shared" si="103"/>
        <v>2.8162962789657131E-2</v>
      </c>
      <c r="S957" s="22">
        <v>3.81668710901093E-2</v>
      </c>
      <c r="T957" s="19">
        <f t="shared" si="104"/>
        <v>4.2991102161535455E-2</v>
      </c>
      <c r="U957" s="24">
        <v>3.9743486731392164E-2</v>
      </c>
      <c r="V957" s="24">
        <f t="shared" si="105"/>
        <v>4.2989514566825537E-2</v>
      </c>
      <c r="W957" s="23">
        <f t="shared" si="106"/>
        <v>3.513743887452625E-3</v>
      </c>
      <c r="X957" s="24">
        <v>3.942579972510063E-2</v>
      </c>
      <c r="Y957" s="24">
        <f t="shared" si="107"/>
        <v>4.2989907489060508E-2</v>
      </c>
      <c r="Z957" s="23">
        <f t="shared" si="108"/>
        <v>3.5137755705607621E-3</v>
      </c>
      <c r="AA957" s="36"/>
    </row>
    <row r="958" spans="4:27" ht="13.9" customHeight="1">
      <c r="D958" s="8"/>
      <c r="E958" s="9"/>
      <c r="F958" s="19"/>
      <c r="G958" s="19"/>
      <c r="H958" s="19"/>
      <c r="J958" s="45"/>
      <c r="K958" s="45"/>
      <c r="L958" s="45"/>
      <c r="M958" s="43"/>
      <c r="O958" s="12">
        <f t="shared" si="102"/>
        <v>78.75</v>
      </c>
      <c r="P958" s="13">
        <v>945</v>
      </c>
      <c r="Q958" s="22">
        <v>2.7373137075887621E-2</v>
      </c>
      <c r="R958" s="19">
        <f t="shared" si="103"/>
        <v>2.8164434352757839E-2</v>
      </c>
      <c r="S958" s="22">
        <v>3.8171964284482884E-2</v>
      </c>
      <c r="T958" s="19">
        <f t="shared" si="104"/>
        <v>4.2991197516766944E-2</v>
      </c>
      <c r="U958" s="24">
        <v>3.9746916336400151E-2</v>
      </c>
      <c r="V958" s="24">
        <f t="shared" si="105"/>
        <v>4.2989619346639696E-2</v>
      </c>
      <c r="W958" s="23">
        <f t="shared" si="106"/>
        <v>3.513752373433876E-3</v>
      </c>
      <c r="X958" s="24">
        <v>3.9429564823111773E-2</v>
      </c>
      <c r="Y958" s="24">
        <f t="shared" si="107"/>
        <v>4.2990010042237126E-2</v>
      </c>
      <c r="Z958" s="23">
        <f t="shared" si="108"/>
        <v>3.5137838776493346E-3</v>
      </c>
      <c r="AA958" s="36"/>
    </row>
    <row r="959" spans="4:27" ht="13.9" customHeight="1">
      <c r="D959" s="8"/>
      <c r="E959" s="9"/>
      <c r="F959" s="19"/>
      <c r="G959" s="19"/>
      <c r="H959" s="19"/>
      <c r="J959" s="45"/>
      <c r="K959" s="45"/>
      <c r="L959" s="45"/>
      <c r="M959" s="43"/>
      <c r="O959" s="12">
        <f t="shared" si="102"/>
        <v>78.833333333333329</v>
      </c>
      <c r="P959" s="13">
        <v>946</v>
      </c>
      <c r="Q959" s="22">
        <v>2.7373973220730097E-2</v>
      </c>
      <c r="R959" s="19">
        <f t="shared" si="103"/>
        <v>2.8165893663867791E-2</v>
      </c>
      <c r="S959" s="22">
        <v>3.8177046836244566E-2</v>
      </c>
      <c r="T959" s="19">
        <f t="shared" si="104"/>
        <v>4.2991291850359881E-2</v>
      </c>
      <c r="U959" s="24">
        <v>3.9750338812351238E-2</v>
      </c>
      <c r="V959" s="24">
        <f t="shared" si="105"/>
        <v>4.2989723079980058E-2</v>
      </c>
      <c r="W959" s="23">
        <f t="shared" si="106"/>
        <v>3.5137607746031918E-3</v>
      </c>
      <c r="X959" s="24">
        <v>3.9433322082717437E-2</v>
      </c>
      <c r="Y959" s="24">
        <f t="shared" si="107"/>
        <v>4.2990111553629307E-2</v>
      </c>
      <c r="Z959" s="23">
        <f t="shared" si="108"/>
        <v>3.5137921002856842E-3</v>
      </c>
      <c r="AA959" s="36"/>
    </row>
    <row r="960" spans="4:27" ht="13.9" customHeight="1">
      <c r="D960" s="8"/>
      <c r="E960" s="9"/>
      <c r="F960" s="19"/>
      <c r="G960" s="19"/>
      <c r="H960" s="19"/>
      <c r="J960" s="45"/>
      <c r="K960" s="45"/>
      <c r="L960" s="45"/>
      <c r="M960" s="43"/>
      <c r="O960" s="12">
        <f t="shared" si="102"/>
        <v>78.916666666666671</v>
      </c>
      <c r="P960" s="13">
        <v>947</v>
      </c>
      <c r="Q960" s="22">
        <v>2.737480914016821E-2</v>
      </c>
      <c r="R960" s="19">
        <f t="shared" si="103"/>
        <v>2.8167340826301457E-2</v>
      </c>
      <c r="S960" s="22">
        <v>3.8182118777958074E-2</v>
      </c>
      <c r="T960" s="19">
        <f t="shared" si="104"/>
        <v>4.2991385172687302E-2</v>
      </c>
      <c r="U960" s="24">
        <v>3.9753754180693379E-2</v>
      </c>
      <c r="V960" s="24">
        <f t="shared" si="105"/>
        <v>4.2989825775914259E-2</v>
      </c>
      <c r="W960" s="23">
        <f t="shared" si="106"/>
        <v>3.5137690918662923E-3</v>
      </c>
      <c r="X960" s="24">
        <v>3.9437071527610668E-2</v>
      </c>
      <c r="Y960" s="24">
        <f t="shared" si="107"/>
        <v>4.2990212033468422E-2</v>
      </c>
      <c r="Z960" s="23">
        <f t="shared" si="108"/>
        <v>3.5138002393919621E-3</v>
      </c>
      <c r="AA960" s="36"/>
    </row>
    <row r="961" spans="4:27" ht="13.9" customHeight="1">
      <c r="D961" s="8"/>
      <c r="E961" s="9"/>
      <c r="F961" s="19"/>
      <c r="G961" s="19"/>
      <c r="H961" s="19"/>
      <c r="J961" s="45"/>
      <c r="K961" s="45"/>
      <c r="L961" s="45"/>
      <c r="M961" s="43"/>
      <c r="O961" s="12">
        <f t="shared" si="102"/>
        <v>79</v>
      </c>
      <c r="P961" s="13">
        <v>948</v>
      </c>
      <c r="Q961" s="22">
        <v>2.7375644822109413E-2</v>
      </c>
      <c r="R961" s="19">
        <f t="shared" si="103"/>
        <v>2.8168775940331736E-2</v>
      </c>
      <c r="S961" s="22">
        <v>3.8187180142060573E-2</v>
      </c>
      <c r="T961" s="19">
        <f t="shared" si="104"/>
        <v>4.2991477495221142E-2</v>
      </c>
      <c r="U961" s="24">
        <v>3.9757162462793705E-2</v>
      </c>
      <c r="V961" s="24">
        <f t="shared" si="105"/>
        <v>4.2989927446121401E-2</v>
      </c>
      <c r="W961" s="23">
        <f t="shared" si="106"/>
        <v>3.5137773259503735E-3</v>
      </c>
      <c r="X961" s="24">
        <v>3.9440813181395473E-2</v>
      </c>
      <c r="Y961" s="24">
        <f t="shared" si="107"/>
        <v>4.2990311491938105E-2</v>
      </c>
      <c r="Z961" s="23">
        <f t="shared" si="108"/>
        <v>3.5138082957884009E-3</v>
      </c>
      <c r="AA961" s="36"/>
    </row>
    <row r="962" spans="4:27" ht="13.9" customHeight="1">
      <c r="D962" s="8"/>
      <c r="E962" s="9"/>
      <c r="F962" s="19"/>
      <c r="G962" s="19"/>
      <c r="H962" s="19"/>
      <c r="J962" s="45"/>
      <c r="K962" s="45"/>
      <c r="L962" s="45"/>
      <c r="M962" s="43"/>
      <c r="O962" s="12">
        <f t="shared" si="102"/>
        <v>79.083333333333329</v>
      </c>
      <c r="P962" s="13">
        <v>949</v>
      </c>
      <c r="Q962" s="22">
        <v>2.7376480254617919E-2</v>
      </c>
      <c r="R962" s="19">
        <f t="shared" si="103"/>
        <v>2.8170199108304539E-2</v>
      </c>
      <c r="S962" s="22">
        <v>3.8192230960865325E-2</v>
      </c>
      <c r="T962" s="19">
        <f t="shared" si="104"/>
        <v>4.2991568828142812E-2</v>
      </c>
      <c r="U962" s="24">
        <v>3.976056367994163E-2</v>
      </c>
      <c r="V962" s="24">
        <f t="shared" si="105"/>
        <v>4.2990028099695099E-2</v>
      </c>
      <c r="W962" s="23">
        <f t="shared" si="106"/>
        <v>3.5137854777915756E-3</v>
      </c>
      <c r="X962" s="24">
        <v>3.9444547067587488E-2</v>
      </c>
      <c r="Y962" s="24">
        <f t="shared" si="107"/>
        <v>4.2990409939883012E-2</v>
      </c>
      <c r="Z962" s="23">
        <f t="shared" si="108"/>
        <v>3.5138162702914588E-3</v>
      </c>
      <c r="AA962" s="36"/>
    </row>
    <row r="963" spans="4:27" ht="13.9" customHeight="1">
      <c r="D963" s="8"/>
      <c r="E963" s="9"/>
      <c r="F963" s="19"/>
      <c r="G963" s="19"/>
      <c r="H963" s="19"/>
      <c r="J963" s="45"/>
      <c r="K963" s="45"/>
      <c r="L963" s="45"/>
      <c r="M963" s="43"/>
      <c r="O963" s="12">
        <f t="shared" si="102"/>
        <v>79.166666666666671</v>
      </c>
      <c r="P963" s="13">
        <v>950</v>
      </c>
      <c r="Q963" s="22">
        <v>2.7377315425915594E-2</v>
      </c>
      <c r="R963" s="19">
        <f t="shared" si="103"/>
        <v>2.8171610427741189E-2</v>
      </c>
      <c r="S963" s="22">
        <v>3.819727126656014E-2</v>
      </c>
      <c r="T963" s="19">
        <f t="shared" si="104"/>
        <v>4.2991659182120889E-2</v>
      </c>
      <c r="U963" s="24">
        <v>3.9763957853346632E-2</v>
      </c>
      <c r="V963" s="24">
        <f t="shared" si="105"/>
        <v>4.299012774786104E-2</v>
      </c>
      <c r="W963" s="23">
        <f t="shared" si="106"/>
        <v>3.5137935481190929E-3</v>
      </c>
      <c r="X963" s="24">
        <v>3.9448273209614415E-2</v>
      </c>
      <c r="Y963" s="24">
        <f t="shared" si="107"/>
        <v>4.2990507387387522E-2</v>
      </c>
      <c r="Z963" s="23">
        <f t="shared" si="108"/>
        <v>3.5138241637706624E-3</v>
      </c>
      <c r="AA963" s="36"/>
    </row>
    <row r="964" spans="4:27" ht="13.9" customHeight="1">
      <c r="D964" s="8"/>
      <c r="E964" s="9"/>
      <c r="F964" s="19"/>
      <c r="G964" s="19"/>
      <c r="H964" s="19"/>
      <c r="J964" s="45"/>
      <c r="K964" s="45"/>
      <c r="L964" s="45"/>
      <c r="M964" s="43"/>
      <c r="O964" s="12">
        <f t="shared" si="102"/>
        <v>79.25</v>
      </c>
      <c r="P964" s="13">
        <v>951</v>
      </c>
      <c r="Q964" s="22">
        <v>2.7378150324376627E-2</v>
      </c>
      <c r="R964" s="19">
        <f t="shared" si="103"/>
        <v>2.8173009999538312E-2</v>
      </c>
      <c r="S964" s="22">
        <v>3.8202301091209145E-2</v>
      </c>
      <c r="T964" s="19">
        <f t="shared" si="104"/>
        <v>4.2991748567751786E-2</v>
      </c>
      <c r="U964" s="24">
        <v>3.9767345004140919E-2</v>
      </c>
      <c r="V964" s="24">
        <f t="shared" si="105"/>
        <v>4.2990226400077658E-2</v>
      </c>
      <c r="W964" s="23">
        <f t="shared" si="106"/>
        <v>3.5138015378330945E-3</v>
      </c>
      <c r="X964" s="24">
        <v>3.9451991630816474E-2</v>
      </c>
      <c r="Y964" s="24">
        <f t="shared" si="107"/>
        <v>4.2990603844701214E-2</v>
      </c>
      <c r="Z964" s="23">
        <f t="shared" si="108"/>
        <v>3.5138319770346982E-3</v>
      </c>
      <c r="AA964" s="36"/>
    </row>
    <row r="965" spans="4:27" ht="13.9" customHeight="1">
      <c r="D965" s="8"/>
      <c r="E965" s="9"/>
      <c r="F965" s="19"/>
      <c r="G965" s="19"/>
      <c r="H965" s="19"/>
      <c r="J965" s="45"/>
      <c r="K965" s="45"/>
      <c r="L965" s="45"/>
      <c r="M965" s="43"/>
      <c r="O965" s="12">
        <f t="shared" si="102"/>
        <v>79.333333333333329</v>
      </c>
      <c r="P965" s="13">
        <v>952</v>
      </c>
      <c r="Q965" s="22">
        <v>2.7378984938529749E-2</v>
      </c>
      <c r="R965" s="19">
        <f t="shared" si="103"/>
        <v>2.8174397920678107E-2</v>
      </c>
      <c r="S965" s="22">
        <v>3.8207320466753014E-2</v>
      </c>
      <c r="T965" s="19">
        <f t="shared" si="104"/>
        <v>4.2991836995567079E-2</v>
      </c>
      <c r="U965" s="24">
        <v>3.9770725153377873E-2</v>
      </c>
      <c r="V965" s="24">
        <f t="shared" si="105"/>
        <v>4.2990324066152885E-2</v>
      </c>
      <c r="W965" s="23">
        <f t="shared" si="106"/>
        <v>3.5138094476920845E-3</v>
      </c>
      <c r="X965" s="24">
        <v>3.945570235444662E-2</v>
      </c>
      <c r="Y965" s="24">
        <f t="shared" si="107"/>
        <v>4.2990699321496573E-2</v>
      </c>
      <c r="Z965" s="23">
        <f t="shared" si="108"/>
        <v>3.5138397109053532E-3</v>
      </c>
      <c r="AA965" s="36"/>
    </row>
    <row r="966" spans="4:27" ht="13.9" customHeight="1">
      <c r="D966" s="8"/>
      <c r="E966" s="9"/>
      <c r="F966" s="19"/>
      <c r="G966" s="19"/>
      <c r="H966" s="19"/>
      <c r="J966" s="45"/>
      <c r="K966" s="45"/>
      <c r="L966" s="45"/>
      <c r="M966" s="43"/>
      <c r="O966" s="12">
        <f t="shared" si="102"/>
        <v>79.416666666666671</v>
      </c>
      <c r="P966" s="13">
        <v>953</v>
      </c>
      <c r="Q966" s="22">
        <v>2.7379819257053573E-2</v>
      </c>
      <c r="R966" s="19">
        <f t="shared" si="103"/>
        <v>2.8175774288887068E-2</v>
      </c>
      <c r="S966" s="22">
        <v>3.8212329425009628E-2</v>
      </c>
      <c r="T966" s="19">
        <f t="shared" si="104"/>
        <v>4.29919244753596E-2</v>
      </c>
      <c r="U966" s="24">
        <v>3.9774098322032936E-2</v>
      </c>
      <c r="V966" s="24">
        <f t="shared" si="105"/>
        <v>4.2990420756489733E-2</v>
      </c>
      <c r="W966" s="23">
        <f t="shared" si="106"/>
        <v>3.5138172784821009E-3</v>
      </c>
      <c r="X966" s="24">
        <v>3.9459405403670544E-2</v>
      </c>
      <c r="Y966" s="24">
        <f t="shared" si="107"/>
        <v>4.2990793828483032E-2</v>
      </c>
      <c r="Z966" s="23">
        <f t="shared" si="108"/>
        <v>3.5138473661582292E-3</v>
      </c>
      <c r="AA966" s="36"/>
    </row>
    <row r="967" spans="4:27" ht="13.9" customHeight="1">
      <c r="D967" s="8"/>
      <c r="E967" s="9"/>
      <c r="F967" s="19"/>
      <c r="G967" s="19"/>
      <c r="H967" s="19"/>
      <c r="J967" s="45"/>
      <c r="K967" s="45"/>
      <c r="L967" s="45"/>
      <c r="M967" s="43"/>
      <c r="O967" s="12">
        <f t="shared" si="102"/>
        <v>79.5</v>
      </c>
      <c r="P967" s="13">
        <v>954</v>
      </c>
      <c r="Q967" s="22">
        <v>2.7380653268776589E-2</v>
      </c>
      <c r="R967" s="19">
        <f t="shared" si="103"/>
        <v>2.817713920062892E-2</v>
      </c>
      <c r="S967" s="22">
        <v>3.8217327997674078E-2</v>
      </c>
      <c r="T967" s="19">
        <f t="shared" si="104"/>
        <v>4.299201101814254E-2</v>
      </c>
      <c r="U967" s="24">
        <v>3.9777464531004725E-2</v>
      </c>
      <c r="V967" s="24">
        <f t="shared" si="105"/>
        <v>4.2990516480589269E-2</v>
      </c>
      <c r="W967" s="23">
        <f t="shared" si="106"/>
        <v>3.5138250310375874E-3</v>
      </c>
      <c r="X967" s="24">
        <v>3.9463100801568007E-2</v>
      </c>
      <c r="Y967" s="24">
        <f t="shared" si="107"/>
        <v>4.2990887375118358E-2</v>
      </c>
      <c r="Z967" s="23">
        <f t="shared" si="108"/>
        <v>3.5138549436519728E-3</v>
      </c>
      <c r="AA967" s="36"/>
    </row>
    <row r="968" spans="4:27" ht="13.9" customHeight="1">
      <c r="D968" s="8"/>
      <c r="E968" s="9"/>
      <c r="F968" s="19"/>
      <c r="G968" s="19"/>
      <c r="H968" s="19"/>
      <c r="J968" s="45"/>
      <c r="K968" s="45"/>
      <c r="L968" s="45"/>
      <c r="M968" s="43"/>
      <c r="O968" s="12">
        <f t="shared" si="102"/>
        <v>79.583333333333329</v>
      </c>
      <c r="P968" s="13">
        <v>955</v>
      </c>
      <c r="Q968" s="22">
        <v>2.738148696267495E-2</v>
      </c>
      <c r="R968" s="19">
        <f t="shared" si="103"/>
        <v>2.8178492750980499E-2</v>
      </c>
      <c r="S968" s="22">
        <v>3.822231621632044E-2</v>
      </c>
      <c r="T968" s="19">
        <f t="shared" si="104"/>
        <v>4.2992096632976651E-2</v>
      </c>
      <c r="U968" s="24">
        <v>3.9780823801113918E-2</v>
      </c>
      <c r="V968" s="24">
        <f t="shared" si="105"/>
        <v>4.299061124781689E-2</v>
      </c>
      <c r="W968" s="23">
        <f t="shared" si="106"/>
        <v>3.5138327061203789E-3</v>
      </c>
      <c r="X968" s="24">
        <v>3.9466788571132172E-2</v>
      </c>
      <c r="Y968" s="24">
        <f t="shared" si="107"/>
        <v>4.299097997050505E-2</v>
      </c>
      <c r="Z968" s="23">
        <f t="shared" si="108"/>
        <v>3.5138624441448663E-3</v>
      </c>
      <c r="AA968" s="36"/>
    </row>
    <row r="969" spans="4:27" ht="13.9" customHeight="1">
      <c r="D969" s="8"/>
      <c r="E969" s="9"/>
      <c r="F969" s="19"/>
      <c r="G969" s="19"/>
      <c r="H969" s="19"/>
      <c r="J969" s="45"/>
      <c r="K969" s="45"/>
      <c r="L969" s="45"/>
      <c r="M969" s="43"/>
      <c r="O969" s="12">
        <f t="shared" si="102"/>
        <v>79.666666666666671</v>
      </c>
      <c r="P969" s="13">
        <v>956</v>
      </c>
      <c r="Q969" s="22">
        <v>2.7382320327870469E-2</v>
      </c>
      <c r="R969" s="19">
        <f t="shared" si="103"/>
        <v>2.8179835035769596E-2</v>
      </c>
      <c r="S969" s="22">
        <v>3.8227294112400223E-2</v>
      </c>
      <c r="T969" s="19">
        <f t="shared" si="104"/>
        <v>4.2992181330462786E-2</v>
      </c>
      <c r="U969" s="24">
        <v>3.9784176153104589E-2</v>
      </c>
      <c r="V969" s="24">
        <f t="shared" si="105"/>
        <v>4.2990705067909918E-2</v>
      </c>
      <c r="W969" s="23">
        <f t="shared" si="106"/>
        <v>3.5138403044812083E-3</v>
      </c>
      <c r="X969" s="24">
        <v>3.9470468735269826E-2</v>
      </c>
      <c r="Y969" s="24">
        <f t="shared" si="107"/>
        <v>4.2991071625703592E-2</v>
      </c>
      <c r="Z969" s="23">
        <f t="shared" si="108"/>
        <v>3.5138698683667702E-3</v>
      </c>
      <c r="AA969" s="36"/>
    </row>
    <row r="970" spans="4:27" ht="13.9" customHeight="1">
      <c r="D970" s="8"/>
      <c r="E970" s="9"/>
      <c r="F970" s="19"/>
      <c r="G970" s="19"/>
      <c r="H970" s="19"/>
      <c r="J970" s="45"/>
      <c r="K970" s="45"/>
      <c r="L970" s="45"/>
      <c r="M970" s="43"/>
      <c r="O970" s="12">
        <f t="shared" si="102"/>
        <v>79.75</v>
      </c>
      <c r="P970" s="13">
        <v>957</v>
      </c>
      <c r="Q970" s="22">
        <v>2.7383153353630396E-2</v>
      </c>
      <c r="R970" s="19">
        <f t="shared" si="103"/>
        <v>2.8181166148072201E-2</v>
      </c>
      <c r="S970" s="22">
        <v>3.8232261717245031E-2</v>
      </c>
      <c r="T970" s="19">
        <f t="shared" si="104"/>
        <v>4.2992265120171513E-2</v>
      </c>
      <c r="U970" s="24">
        <v>3.9787521607643983E-2</v>
      </c>
      <c r="V970" s="24">
        <f t="shared" si="105"/>
        <v>4.2990797950754445E-2</v>
      </c>
      <c r="W970" s="23">
        <f t="shared" si="106"/>
        <v>3.5138478269010065E-3</v>
      </c>
      <c r="X970" s="24">
        <v>3.9474141316803379E-2</v>
      </c>
      <c r="Y970" s="24">
        <f t="shared" si="107"/>
        <v>4.2991162349108158E-2</v>
      </c>
      <c r="Z970" s="23">
        <f t="shared" si="108"/>
        <v>3.5138772172047528E-3</v>
      </c>
      <c r="AA970" s="36"/>
    </row>
    <row r="971" spans="4:27" ht="13.9" customHeight="1">
      <c r="D971" s="8"/>
      <c r="E971" s="9"/>
      <c r="F971" s="19"/>
      <c r="G971" s="19"/>
      <c r="H971" s="19"/>
      <c r="J971" s="45"/>
      <c r="K971" s="45"/>
      <c r="L971" s="45"/>
      <c r="M971" s="43"/>
      <c r="O971" s="12">
        <f t="shared" si="102"/>
        <v>79.833333333333329</v>
      </c>
      <c r="P971" s="13">
        <v>958</v>
      </c>
      <c r="Q971" s="22">
        <v>2.7383986029363871E-2</v>
      </c>
      <c r="R971" s="19">
        <f t="shared" si="103"/>
        <v>2.8182486181949074E-2</v>
      </c>
      <c r="S971" s="22">
        <v>3.8237219062065897E-2</v>
      </c>
      <c r="T971" s="19">
        <f t="shared" si="104"/>
        <v>4.2992348011839931E-2</v>
      </c>
      <c r="U971" s="24">
        <v>3.9790860185323629E-2</v>
      </c>
      <c r="V971" s="24">
        <f t="shared" si="105"/>
        <v>4.2990889905213159E-2</v>
      </c>
      <c r="W971" s="23">
        <f t="shared" si="106"/>
        <v>3.5138552741722506E-3</v>
      </c>
      <c r="X971" s="24">
        <v>3.947780633846909E-2</v>
      </c>
      <c r="Y971" s="24">
        <f t="shared" si="107"/>
        <v>4.299125215058397E-2</v>
      </c>
      <c r="Z971" s="23">
        <f t="shared" si="108"/>
        <v>3.5138844913313871E-3</v>
      </c>
      <c r="AA971" s="36"/>
    </row>
    <row r="972" spans="4:27" ht="13.9" customHeight="1">
      <c r="D972" s="8"/>
      <c r="E972" s="9"/>
      <c r="F972" s="19"/>
      <c r="G972" s="19"/>
      <c r="H972" s="19"/>
      <c r="J972" s="45"/>
      <c r="K972" s="45"/>
      <c r="L972" s="45"/>
      <c r="M972" s="43"/>
      <c r="O972" s="12">
        <f t="shared" si="102"/>
        <v>79.916666666666671</v>
      </c>
      <c r="P972" s="13">
        <v>959</v>
      </c>
      <c r="Q972" s="22">
        <v>2.7384818344622142E-2</v>
      </c>
      <c r="R972" s="19">
        <f t="shared" si="103"/>
        <v>2.818379522955583E-2</v>
      </c>
      <c r="S972" s="22">
        <v>3.8242166177953951E-2</v>
      </c>
      <c r="T972" s="19">
        <f t="shared" si="104"/>
        <v>4.2992430015084127E-2</v>
      </c>
      <c r="U972" s="24">
        <v>3.9794191906658227E-2</v>
      </c>
      <c r="V972" s="24">
        <f t="shared" si="105"/>
        <v>4.2990980940642576E-2</v>
      </c>
      <c r="W972" s="23">
        <f t="shared" si="106"/>
        <v>3.5138626470057055E-3</v>
      </c>
      <c r="X972" s="24">
        <v>3.9481463822918617E-2</v>
      </c>
      <c r="Y972" s="24">
        <f t="shared" si="107"/>
        <v>4.2991341039607889E-2</v>
      </c>
      <c r="Z972" s="23">
        <f t="shared" si="108"/>
        <v>3.5138916915382623E-3</v>
      </c>
      <c r="AA972" s="36"/>
    </row>
    <row r="973" spans="4:27" ht="13.9" customHeight="1">
      <c r="D973" s="8"/>
      <c r="E973" s="9"/>
      <c r="F973" s="19"/>
      <c r="G973" s="19"/>
      <c r="H973" s="19"/>
      <c r="J973" s="45"/>
      <c r="K973" s="45"/>
      <c r="L973" s="45"/>
      <c r="M973" s="43"/>
      <c r="O973" s="12">
        <f t="shared" si="102"/>
        <v>80</v>
      </c>
      <c r="P973" s="13">
        <v>960</v>
      </c>
      <c r="Q973" s="22">
        <v>2.738565028909612E-2</v>
      </c>
      <c r="R973" s="19">
        <f t="shared" si="103"/>
        <v>2.8185093381928317E-2</v>
      </c>
      <c r="S973" s="22">
        <v>3.8247103095880863E-2</v>
      </c>
      <c r="T973" s="19">
        <f t="shared" si="104"/>
        <v>4.2992511139751777E-2</v>
      </c>
      <c r="U973" s="24">
        <v>3.9797516792087206E-2</v>
      </c>
      <c r="V973" s="24">
        <f t="shared" si="105"/>
        <v>4.2991071066287079E-2</v>
      </c>
      <c r="W973" s="23">
        <f t="shared" si="106"/>
        <v>3.5138699461516598E-3</v>
      </c>
      <c r="X973" s="24">
        <v>3.948511379271924E-2</v>
      </c>
      <c r="Y973" s="24">
        <f t="shared" si="107"/>
        <v>4.2991429025420524E-2</v>
      </c>
      <c r="Z973" s="23">
        <f t="shared" si="108"/>
        <v>3.5138988185847708E-3</v>
      </c>
      <c r="AA973" s="36"/>
    </row>
    <row r="974" spans="4:27" ht="13.9" customHeight="1">
      <c r="D974" s="8"/>
      <c r="E974" s="9"/>
      <c r="F974" s="19"/>
      <c r="G974" s="19"/>
      <c r="H974" s="19"/>
      <c r="J974" s="45"/>
      <c r="K974" s="45"/>
      <c r="L974" s="45"/>
      <c r="M974" s="43"/>
      <c r="O974" s="12">
        <f t="shared" ref="O974:O1037" si="109">P974/12</f>
        <v>80.083333333333329</v>
      </c>
      <c r="P974" s="13">
        <v>961</v>
      </c>
      <c r="Q974" s="22">
        <v>2.7386481852614164E-2</v>
      </c>
      <c r="R974" s="19">
        <f t="shared" ref="R974:R1037" si="110">(1+Q975)^P975/(1+Q974)^P974-1</f>
        <v>2.8186380731387572E-2</v>
      </c>
      <c r="S974" s="22">
        <v>3.8252029846700175E-2</v>
      </c>
      <c r="T974" s="19">
        <f t="shared" ref="T974:T1037" si="111">(1+S975)^P975/(1+S974)^P974-1</f>
        <v>4.2992591394938273E-2</v>
      </c>
      <c r="U974" s="24">
        <v>3.9800834861974499E-2</v>
      </c>
      <c r="V974" s="24">
        <f t="shared" ref="V974:V1037" si="112">(1+U975)^P975/(1+U974)^P974-1</f>
        <v>4.2991160291447672E-2</v>
      </c>
      <c r="W974" s="23">
        <f t="shared" si="106"/>
        <v>3.5138771723510764E-3</v>
      </c>
      <c r="X974" s="24">
        <v>3.9488756270354086E-2</v>
      </c>
      <c r="Y974" s="24">
        <f t="shared" si="107"/>
        <v>4.2991516116971829E-2</v>
      </c>
      <c r="Z974" s="23">
        <f t="shared" si="108"/>
        <v>3.5139058732120976E-3</v>
      </c>
      <c r="AA974" s="36"/>
    </row>
    <row r="975" spans="4:27" ht="13.9" customHeight="1">
      <c r="D975" s="8"/>
      <c r="E975" s="9"/>
      <c r="F975" s="19"/>
      <c r="G975" s="19"/>
      <c r="H975" s="19"/>
      <c r="J975" s="45"/>
      <c r="K975" s="45"/>
      <c r="L975" s="45"/>
      <c r="M975" s="43"/>
      <c r="O975" s="12">
        <f t="shared" si="109"/>
        <v>80.166666666666671</v>
      </c>
      <c r="P975" s="13">
        <v>962</v>
      </c>
      <c r="Q975" s="22">
        <v>2.7387313025142745E-2</v>
      </c>
      <c r="R975" s="19">
        <f t="shared" si="110"/>
        <v>2.8187657366512298E-2</v>
      </c>
      <c r="S975" s="22">
        <v>3.8256946461146635E-2</v>
      </c>
      <c r="T975" s="19">
        <f t="shared" si="111"/>
        <v>4.2992670789784526E-2</v>
      </c>
      <c r="U975" s="24">
        <v>3.9804146136608987E-2</v>
      </c>
      <c r="V975" s="24">
        <f t="shared" si="112"/>
        <v>4.2991248625003475E-2</v>
      </c>
      <c r="W975" s="23">
        <f t="shared" ref="W975:W1038" si="113">(1+V974)^(1/12)-1</f>
        <v>3.5138843263500252E-3</v>
      </c>
      <c r="X975" s="24">
        <v>3.949239127822235E-2</v>
      </c>
      <c r="Y975" s="24">
        <f t="shared" ref="Y975:Y1038" si="114">(1+X976)^P976/(1+X975)^P975-1</f>
        <v>4.2991602323486644E-2</v>
      </c>
      <c r="Z975" s="23">
        <f t="shared" ref="Z975:Z1038" si="115">(1+Y974)^(1/12)-1</f>
        <v>3.5139128561378907E-3</v>
      </c>
      <c r="AA975" s="36"/>
    </row>
    <row r="976" spans="4:27" ht="13.9" customHeight="1">
      <c r="D976" s="8"/>
      <c r="E976" s="9"/>
      <c r="F976" s="19"/>
      <c r="G976" s="19"/>
      <c r="H976" s="19"/>
      <c r="J976" s="45"/>
      <c r="K976" s="45"/>
      <c r="L976" s="45"/>
      <c r="M976" s="43"/>
      <c r="O976" s="12">
        <f t="shared" si="109"/>
        <v>80.25</v>
      </c>
      <c r="P976" s="13">
        <v>963</v>
      </c>
      <c r="Q976" s="22">
        <v>2.7388143796782227E-2</v>
      </c>
      <c r="R976" s="19">
        <f t="shared" si="110"/>
        <v>2.8188923378091868E-2</v>
      </c>
      <c r="S976" s="22">
        <v>3.8261852969837307E-2</v>
      </c>
      <c r="T976" s="19">
        <f t="shared" si="111"/>
        <v>4.2992749333724767E-2</v>
      </c>
      <c r="U976" s="24">
        <v>3.9807450636204722E-2</v>
      </c>
      <c r="V976" s="24">
        <f t="shared" si="112"/>
        <v>4.299133607543415E-2</v>
      </c>
      <c r="W976" s="23">
        <f t="shared" si="113"/>
        <v>3.5138914088601592E-3</v>
      </c>
      <c r="X976" s="24">
        <v>3.9496018838639735E-2</v>
      </c>
      <c r="Y976" s="24">
        <f t="shared" si="114"/>
        <v>4.2991687654011956E-2</v>
      </c>
      <c r="Z976" s="23">
        <f t="shared" si="115"/>
        <v>3.5139197681015588E-3</v>
      </c>
      <c r="AA976" s="36"/>
    </row>
    <row r="977" spans="4:27" ht="13.9" customHeight="1">
      <c r="D977" s="8"/>
      <c r="E977" s="9"/>
      <c r="F977" s="19"/>
      <c r="G977" s="19"/>
      <c r="H977" s="19"/>
      <c r="J977" s="45"/>
      <c r="K977" s="45"/>
      <c r="L977" s="45"/>
      <c r="M977" s="43"/>
      <c r="O977" s="12">
        <f t="shared" si="109"/>
        <v>80.333333333333329</v>
      </c>
      <c r="P977" s="13">
        <v>964</v>
      </c>
      <c r="Q977" s="22">
        <v>2.7388974157767754E-2</v>
      </c>
      <c r="R977" s="19">
        <f t="shared" si="110"/>
        <v>2.819017885404862E-2</v>
      </c>
      <c r="S977" s="22">
        <v>3.8266749403272016E-2</v>
      </c>
      <c r="T977" s="19">
        <f t="shared" si="111"/>
        <v>4.2992827036227643E-2</v>
      </c>
      <c r="U977" s="24">
        <v>3.9810748380900929E-2</v>
      </c>
      <c r="V977" s="24">
        <f t="shared" si="112"/>
        <v>4.2991422652242983E-2</v>
      </c>
      <c r="W977" s="23">
        <f t="shared" si="113"/>
        <v>3.5138984205616008E-3</v>
      </c>
      <c r="X977" s="24">
        <v>3.9499638973838902E-2</v>
      </c>
      <c r="Y977" s="24">
        <f t="shared" si="114"/>
        <v>4.2991772117733307E-2</v>
      </c>
      <c r="Z977" s="23">
        <f t="shared" si="115"/>
        <v>3.5139266098285216E-3</v>
      </c>
      <c r="AA977" s="36"/>
    </row>
    <row r="978" spans="4:27" ht="13.9" customHeight="1">
      <c r="D978" s="8"/>
      <c r="E978" s="9"/>
      <c r="F978" s="19"/>
      <c r="G978" s="19"/>
      <c r="H978" s="19"/>
      <c r="J978" s="45"/>
      <c r="K978" s="45"/>
      <c r="L978" s="45"/>
      <c r="M978" s="43"/>
      <c r="O978" s="12">
        <f t="shared" si="109"/>
        <v>80.416666666666671</v>
      </c>
      <c r="P978" s="13">
        <v>965</v>
      </c>
      <c r="Q978" s="22">
        <v>2.7389804098466364E-2</v>
      </c>
      <c r="R978" s="19">
        <f t="shared" si="110"/>
        <v>2.8191423882474975E-2</v>
      </c>
      <c r="S978" s="22">
        <v>3.8271635791834013E-2</v>
      </c>
      <c r="T978" s="19">
        <f t="shared" si="111"/>
        <v>4.2992903905854751E-2</v>
      </c>
      <c r="U978" s="24">
        <v>3.981403939076289E-2</v>
      </c>
      <c r="V978" s="24">
        <f t="shared" si="112"/>
        <v>4.2991508363647624E-2</v>
      </c>
      <c r="W978" s="23">
        <f t="shared" si="113"/>
        <v>3.5139053622161853E-3</v>
      </c>
      <c r="X978" s="24">
        <v>3.9503251705969689E-2</v>
      </c>
      <c r="Y978" s="24">
        <f t="shared" si="114"/>
        <v>4.2991855722773753E-2</v>
      </c>
      <c r="Z978" s="23">
        <f t="shared" si="115"/>
        <v>3.513933382055523E-3</v>
      </c>
      <c r="AA978" s="36"/>
    </row>
    <row r="979" spans="4:27" ht="13.9" customHeight="1">
      <c r="D979" s="8"/>
      <c r="E979" s="9"/>
      <c r="F979" s="19"/>
      <c r="G979" s="19"/>
      <c r="H979" s="19"/>
      <c r="J979" s="45"/>
      <c r="K979" s="45"/>
      <c r="L979" s="45"/>
      <c r="M979" s="43"/>
      <c r="O979" s="12">
        <f t="shared" si="109"/>
        <v>80.5</v>
      </c>
      <c r="P979" s="13">
        <v>966</v>
      </c>
      <c r="Q979" s="22">
        <v>2.7390633609375881E-2</v>
      </c>
      <c r="R979" s="19">
        <f t="shared" si="110"/>
        <v>2.8192658550484806E-2</v>
      </c>
      <c r="S979" s="22">
        <v>3.8276512165790422E-2</v>
      </c>
      <c r="T979" s="19">
        <f t="shared" si="111"/>
        <v>4.2992979951479215E-2</v>
      </c>
      <c r="U979" s="24">
        <v>3.9817323685781725E-2</v>
      </c>
      <c r="V979" s="24">
        <f t="shared" si="112"/>
        <v>4.299159321876056E-2</v>
      </c>
      <c r="W979" s="23">
        <f t="shared" si="113"/>
        <v>3.513912234482941E-3</v>
      </c>
      <c r="X979" s="24">
        <v>3.9506857057099332E-2</v>
      </c>
      <c r="Y979" s="24">
        <f t="shared" si="114"/>
        <v>4.2991938478304847E-2</v>
      </c>
      <c r="Z979" s="23">
        <f t="shared" si="115"/>
        <v>3.5139400854338199E-3</v>
      </c>
      <c r="AA979" s="36"/>
    </row>
    <row r="980" spans="4:27" ht="13.9" customHeight="1">
      <c r="D980" s="8"/>
      <c r="E980" s="9"/>
      <c r="F980" s="19"/>
      <c r="G980" s="19"/>
      <c r="H980" s="19"/>
      <c r="J980" s="45"/>
      <c r="K980" s="45"/>
      <c r="L980" s="45"/>
      <c r="M980" s="43"/>
      <c r="O980" s="12">
        <f t="shared" si="109"/>
        <v>80.583333333333329</v>
      </c>
      <c r="P980" s="13">
        <v>967</v>
      </c>
      <c r="Q980" s="22">
        <v>2.739146268112358E-2</v>
      </c>
      <c r="R980" s="19">
        <f t="shared" si="110"/>
        <v>2.8193882944400173E-2</v>
      </c>
      <c r="S980" s="22">
        <v>3.8281378555292012E-2</v>
      </c>
      <c r="T980" s="19">
        <f t="shared" si="111"/>
        <v>4.2993055182229956E-2</v>
      </c>
      <c r="U980" s="24">
        <v>3.9820601285875279E-2</v>
      </c>
      <c r="V980" s="24">
        <f t="shared" si="112"/>
        <v>4.2991677225626246E-2</v>
      </c>
      <c r="W980" s="23">
        <f t="shared" si="113"/>
        <v>3.5139190380923946E-3</v>
      </c>
      <c r="X980" s="24">
        <v>3.9510455049212911E-2</v>
      </c>
      <c r="Y980" s="24">
        <f t="shared" si="114"/>
        <v>4.2992020393106456E-2</v>
      </c>
      <c r="Z980" s="23">
        <f t="shared" si="115"/>
        <v>3.5139467206986019E-3</v>
      </c>
      <c r="AA980" s="36"/>
    </row>
    <row r="981" spans="4:27" ht="13.9" customHeight="1">
      <c r="D981" s="8"/>
      <c r="E981" s="9"/>
      <c r="F981" s="19"/>
      <c r="G981" s="19"/>
      <c r="H981" s="19"/>
      <c r="J981" s="45"/>
      <c r="K981" s="45"/>
      <c r="L981" s="45"/>
      <c r="M981" s="43"/>
      <c r="O981" s="12">
        <f t="shared" si="109"/>
        <v>80.666666666666671</v>
      </c>
      <c r="P981" s="13">
        <v>968</v>
      </c>
      <c r="Q981" s="22">
        <v>2.7392291304464411E-2</v>
      </c>
      <c r="R981" s="19">
        <f t="shared" si="110"/>
        <v>2.8195097150409909E-2</v>
      </c>
      <c r="S981" s="22">
        <v>3.8286234990374979E-2</v>
      </c>
      <c r="T981" s="19">
        <f t="shared" si="111"/>
        <v>4.2993129607126868E-2</v>
      </c>
      <c r="U981" s="24">
        <v>3.9823872210887457E-2</v>
      </c>
      <c r="V981" s="24">
        <f t="shared" si="112"/>
        <v>4.2991760393312095E-2</v>
      </c>
      <c r="W981" s="23">
        <f t="shared" si="113"/>
        <v>3.5139257736898077E-3</v>
      </c>
      <c r="X981" s="24">
        <v>3.9514045704214018E-2</v>
      </c>
      <c r="Y981" s="24">
        <f t="shared" si="114"/>
        <v>4.2992101475151756E-2</v>
      </c>
      <c r="Z981" s="23">
        <f t="shared" si="115"/>
        <v>3.5139532885539726E-3</v>
      </c>
      <c r="AA981" s="36"/>
    </row>
    <row r="982" spans="4:27" ht="13.9" customHeight="1">
      <c r="D982" s="8"/>
      <c r="E982" s="9"/>
      <c r="F982" s="19"/>
      <c r="G982" s="19"/>
      <c r="H982" s="19"/>
      <c r="J982" s="45"/>
      <c r="K982" s="45"/>
      <c r="L982" s="45"/>
      <c r="M982" s="43"/>
      <c r="O982" s="12">
        <f t="shared" si="109"/>
        <v>80.75</v>
      </c>
      <c r="P982" s="13">
        <v>969</v>
      </c>
      <c r="Q982" s="22">
        <v>2.7393119470280558E-2</v>
      </c>
      <c r="R982" s="19">
        <f t="shared" si="110"/>
        <v>2.8196301253462952E-2</v>
      </c>
      <c r="S982" s="22">
        <v>3.8291081500960722E-2</v>
      </c>
      <c r="T982" s="19">
        <f t="shared" si="111"/>
        <v>4.2993203233611998E-2</v>
      </c>
      <c r="U982" s="24">
        <v>3.9827136480589775E-2</v>
      </c>
      <c r="V982" s="24">
        <f t="shared" si="112"/>
        <v>4.2991842729339425E-2</v>
      </c>
      <c r="W982" s="23">
        <f t="shared" si="113"/>
        <v>3.5139324420017104E-3</v>
      </c>
      <c r="X982" s="24">
        <v>3.9517629043924085E-2</v>
      </c>
      <c r="Y982" s="24">
        <f t="shared" si="114"/>
        <v>4.2992181733680024E-2</v>
      </c>
      <c r="Z982" s="23">
        <f t="shared" si="115"/>
        <v>3.5139597896394204E-3</v>
      </c>
      <c r="AA982" s="36"/>
    </row>
    <row r="983" spans="4:27" ht="13.9" customHeight="1">
      <c r="D983" s="8"/>
      <c r="E983" s="9"/>
      <c r="F983" s="19"/>
      <c r="G983" s="19"/>
      <c r="H983" s="19"/>
      <c r="J983" s="45"/>
      <c r="K983" s="45"/>
      <c r="L983" s="45"/>
      <c r="M983" s="43"/>
      <c r="O983" s="12">
        <f t="shared" si="109"/>
        <v>80.833333333333329</v>
      </c>
      <c r="P983" s="13">
        <v>970</v>
      </c>
      <c r="Q983" s="22">
        <v>2.7393947169579214E-2</v>
      </c>
      <c r="R983" s="19">
        <f t="shared" si="110"/>
        <v>2.8197495337090484E-2</v>
      </c>
      <c r="S983" s="22">
        <v>3.8295918116855621E-2</v>
      </c>
      <c r="T983" s="19">
        <f t="shared" si="111"/>
        <v>4.2993276071510156E-2</v>
      </c>
      <c r="U983" s="24">
        <v>3.9830394114680034E-2</v>
      </c>
      <c r="V983" s="24">
        <f t="shared" si="112"/>
        <v>4.2991924242972601E-2</v>
      </c>
      <c r="W983" s="23">
        <f t="shared" si="113"/>
        <v>3.5139390436318418E-3</v>
      </c>
      <c r="X983" s="24">
        <v>3.9521205090084388E-2</v>
      </c>
      <c r="Y983" s="24">
        <f t="shared" si="114"/>
        <v>4.2992261176409308E-2</v>
      </c>
      <c r="Z983" s="23">
        <f t="shared" si="115"/>
        <v>3.5139662246952419E-3</v>
      </c>
      <c r="AA983" s="36"/>
    </row>
    <row r="984" spans="4:27" ht="13.9" customHeight="1">
      <c r="D984" s="8"/>
      <c r="E984" s="9"/>
      <c r="F984" s="19"/>
      <c r="G984" s="19"/>
      <c r="H984" s="19"/>
      <c r="J984" s="45"/>
      <c r="K984" s="45"/>
      <c r="L984" s="45"/>
      <c r="M984" s="43"/>
      <c r="O984" s="12">
        <f t="shared" si="109"/>
        <v>80.916666666666671</v>
      </c>
      <c r="P984" s="13">
        <v>971</v>
      </c>
      <c r="Q984" s="22">
        <v>2.7394774393490584E-2</v>
      </c>
      <c r="R984" s="19">
        <f t="shared" si="110"/>
        <v>2.8198679485365252E-2</v>
      </c>
      <c r="S984" s="22">
        <v>3.8300744867753256E-2</v>
      </c>
      <c r="T984" s="19">
        <f t="shared" si="111"/>
        <v>4.2993348128892217E-2</v>
      </c>
      <c r="U984" s="24">
        <v>3.9833645132784534E-2</v>
      </c>
      <c r="V984" s="24">
        <f t="shared" si="112"/>
        <v>4.2992004941970974E-2</v>
      </c>
      <c r="W984" s="23">
        <f t="shared" si="113"/>
        <v>3.5139455793224972E-3</v>
      </c>
      <c r="X984" s="24">
        <v>3.952477386435449E-2</v>
      </c>
      <c r="Y984" s="24">
        <f t="shared" si="114"/>
        <v>4.2992339811753544E-2</v>
      </c>
      <c r="Z984" s="23">
        <f t="shared" si="115"/>
        <v>3.5139725943407196E-3</v>
      </c>
      <c r="AA984" s="36"/>
    </row>
    <row r="985" spans="4:27" ht="13.9" customHeight="1">
      <c r="D985" s="8"/>
      <c r="E985" s="9"/>
      <c r="F985" s="19"/>
      <c r="G985" s="19"/>
      <c r="H985" s="19"/>
      <c r="J985" s="45"/>
      <c r="K985" s="45"/>
      <c r="L985" s="45"/>
      <c r="M985" s="43"/>
      <c r="O985" s="12">
        <f t="shared" si="109"/>
        <v>81</v>
      </c>
      <c r="P985" s="13">
        <v>972</v>
      </c>
      <c r="Q985" s="22">
        <v>2.7395601133267888E-2</v>
      </c>
      <c r="R985" s="19">
        <f t="shared" si="110"/>
        <v>2.8199853781396556E-2</v>
      </c>
      <c r="S985" s="22">
        <v>3.8305561783233522E-2</v>
      </c>
      <c r="T985" s="19">
        <f t="shared" si="111"/>
        <v>4.2993419413879908E-2</v>
      </c>
      <c r="U985" s="24">
        <v>3.9836889554456745E-2</v>
      </c>
      <c r="V985" s="24">
        <f t="shared" si="112"/>
        <v>4.2992084834297506E-2</v>
      </c>
      <c r="W985" s="23">
        <f t="shared" si="113"/>
        <v>3.5139520496958454E-3</v>
      </c>
      <c r="X985" s="24">
        <v>3.9528335388313574E-2</v>
      </c>
      <c r="Y985" s="24">
        <f t="shared" si="114"/>
        <v>4.299241764810291E-2</v>
      </c>
      <c r="Z985" s="23">
        <f t="shared" si="115"/>
        <v>3.5139788992504251E-3</v>
      </c>
      <c r="AA985" s="36"/>
    </row>
    <row r="986" spans="4:27" ht="13.9" customHeight="1">
      <c r="D986" s="8"/>
      <c r="E986" s="9"/>
      <c r="F986" s="19"/>
      <c r="G986" s="19"/>
      <c r="H986" s="19"/>
      <c r="J986" s="45"/>
      <c r="K986" s="45"/>
      <c r="L986" s="45"/>
      <c r="M986" s="43"/>
      <c r="O986" s="12">
        <f t="shared" si="109"/>
        <v>81.083333333333329</v>
      </c>
      <c r="P986" s="13">
        <v>973</v>
      </c>
      <c r="Q986" s="22">
        <v>2.7396427380285582E-2</v>
      </c>
      <c r="R986" s="19">
        <f t="shared" si="110"/>
        <v>2.8201018307040693E-2</v>
      </c>
      <c r="S986" s="22">
        <v>3.8310368892763513E-2</v>
      </c>
      <c r="T986" s="19">
        <f t="shared" si="111"/>
        <v>4.2993489934960882E-2</v>
      </c>
      <c r="U986" s="24">
        <v>3.9840127399178193E-2</v>
      </c>
      <c r="V986" s="24">
        <f t="shared" si="112"/>
        <v>4.2992163928633031E-2</v>
      </c>
      <c r="W986" s="23">
        <f t="shared" si="113"/>
        <v>3.5139584553907088E-3</v>
      </c>
      <c r="X986" s="24">
        <v>3.9531889683461108E-2</v>
      </c>
      <c r="Y986" s="24">
        <f t="shared" si="114"/>
        <v>4.2992494693672612E-2</v>
      </c>
      <c r="Z986" s="23">
        <f t="shared" si="115"/>
        <v>3.5139851400969313E-3</v>
      </c>
      <c r="AA986" s="36"/>
    </row>
    <row r="987" spans="4:27" ht="13.9" customHeight="1">
      <c r="D987" s="8"/>
      <c r="E987" s="9"/>
      <c r="F987" s="19"/>
      <c r="G987" s="19"/>
      <c r="H987" s="19"/>
      <c r="J987" s="45"/>
      <c r="K987" s="45"/>
      <c r="L987" s="45"/>
      <c r="M987" s="43"/>
      <c r="O987" s="12">
        <f t="shared" si="109"/>
        <v>81.166666666666671</v>
      </c>
      <c r="P987" s="13">
        <v>974</v>
      </c>
      <c r="Q987" s="22">
        <v>2.739725312603758E-2</v>
      </c>
      <c r="R987" s="19">
        <f t="shared" si="110"/>
        <v>2.8202173144164178E-2</v>
      </c>
      <c r="S987" s="22">
        <v>3.8315166225698194E-2</v>
      </c>
      <c r="T987" s="19">
        <f t="shared" si="111"/>
        <v>4.2993559700137185E-2</v>
      </c>
      <c r="U987" s="24">
        <v>3.9843358686359354E-2</v>
      </c>
      <c r="V987" s="24">
        <f t="shared" si="112"/>
        <v>4.2992242232127165E-2</v>
      </c>
      <c r="W987" s="23">
        <f t="shared" si="113"/>
        <v>3.5139647971027532E-3</v>
      </c>
      <c r="X987" s="24">
        <v>3.9535436771216625E-2</v>
      </c>
      <c r="Y987" s="24">
        <f t="shared" si="114"/>
        <v>4.2992570956241094E-2</v>
      </c>
      <c r="Z987" s="23">
        <f t="shared" si="115"/>
        <v>3.5139913175392667E-3</v>
      </c>
      <c r="AA987" s="36"/>
    </row>
    <row r="988" spans="4:27" ht="13.9" customHeight="1">
      <c r="D988" s="8"/>
      <c r="E988" s="9"/>
      <c r="F988" s="19"/>
      <c r="G988" s="19"/>
      <c r="H988" s="19"/>
      <c r="J988" s="45"/>
      <c r="K988" s="45"/>
      <c r="L988" s="45"/>
      <c r="M988" s="43"/>
      <c r="O988" s="12">
        <f t="shared" si="109"/>
        <v>81.25</v>
      </c>
      <c r="P988" s="13">
        <v>975</v>
      </c>
      <c r="Q988" s="22">
        <v>2.7398078362136369E-2</v>
      </c>
      <c r="R988" s="19">
        <f t="shared" si="110"/>
        <v>2.8203318372917785E-2</v>
      </c>
      <c r="S988" s="22">
        <v>3.8319953811280394E-2</v>
      </c>
      <c r="T988" s="19">
        <f t="shared" si="111"/>
        <v>4.2993628717757471E-2</v>
      </c>
      <c r="U988" s="24">
        <v>3.9846583435338534E-2</v>
      </c>
      <c r="V988" s="24">
        <f t="shared" si="112"/>
        <v>4.2992319753563546E-2</v>
      </c>
      <c r="W988" s="23">
        <f t="shared" si="113"/>
        <v>3.5139710754055198E-3</v>
      </c>
      <c r="X988" s="24">
        <v>3.9538976672919945E-2</v>
      </c>
      <c r="Y988" s="24">
        <f t="shared" si="114"/>
        <v>4.299264644372025E-2</v>
      </c>
      <c r="Z988" s="23">
        <f t="shared" si="115"/>
        <v>3.5139974322007106E-3</v>
      </c>
      <c r="AA988" s="36"/>
    </row>
    <row r="989" spans="4:27" ht="13.9" customHeight="1">
      <c r="D989" s="8"/>
      <c r="E989" s="9"/>
      <c r="F989" s="19"/>
      <c r="G989" s="19"/>
      <c r="H989" s="19"/>
      <c r="J989" s="45"/>
      <c r="K989" s="45"/>
      <c r="L989" s="45"/>
      <c r="M989" s="43"/>
      <c r="O989" s="12">
        <f t="shared" si="109"/>
        <v>81.333333333333329</v>
      </c>
      <c r="P989" s="13">
        <v>976</v>
      </c>
      <c r="Q989" s="22">
        <v>2.7398903080311232E-2</v>
      </c>
      <c r="R989" s="19">
        <f t="shared" si="110"/>
        <v>2.820445407426142E-2</v>
      </c>
      <c r="S989" s="22">
        <v>3.8324731678641921E-2</v>
      </c>
      <c r="T989" s="19">
        <f t="shared" si="111"/>
        <v>4.2993696995706099E-2</v>
      </c>
      <c r="U989" s="24">
        <v>3.9849801665383655E-2</v>
      </c>
      <c r="V989" s="24">
        <f t="shared" si="112"/>
        <v>4.2992396499700547E-2</v>
      </c>
      <c r="W989" s="23">
        <f t="shared" si="113"/>
        <v>3.513977291003334E-3</v>
      </c>
      <c r="X989" s="24">
        <v>3.9542509409831395E-2</v>
      </c>
      <c r="Y989" s="24">
        <f t="shared" si="114"/>
        <v>4.2992721164153647E-2</v>
      </c>
      <c r="Z989" s="23">
        <f t="shared" si="115"/>
        <v>3.5140034847156443E-3</v>
      </c>
      <c r="AA989" s="36"/>
    </row>
    <row r="990" spans="4:27" ht="13.9" customHeight="1">
      <c r="D990" s="8"/>
      <c r="E990" s="9"/>
      <c r="F990" s="19"/>
      <c r="G990" s="19"/>
      <c r="H990" s="19"/>
      <c r="J990" s="45"/>
      <c r="K990" s="45"/>
      <c r="L990" s="45"/>
      <c r="M990" s="43"/>
      <c r="O990" s="12">
        <f t="shared" si="109"/>
        <v>81.416666666666671</v>
      </c>
      <c r="P990" s="13">
        <v>977</v>
      </c>
      <c r="Q990" s="22">
        <v>2.7399727272407803E-2</v>
      </c>
      <c r="R990" s="19">
        <f t="shared" si="110"/>
        <v>2.8205580327257174E-2</v>
      </c>
      <c r="S990" s="22">
        <v>3.8329499856803784E-2</v>
      </c>
      <c r="T990" s="19">
        <f t="shared" si="111"/>
        <v>4.2993764541916057E-2</v>
      </c>
      <c r="U990" s="24">
        <v>3.9853013395691139E-2</v>
      </c>
      <c r="V990" s="24">
        <f t="shared" si="112"/>
        <v>4.2992472479315813E-2</v>
      </c>
      <c r="W990" s="23">
        <f t="shared" si="113"/>
        <v>3.5139834444377627E-3</v>
      </c>
      <c r="X990" s="24">
        <v>3.9546035003132918E-2</v>
      </c>
      <c r="Y990" s="24">
        <f t="shared" si="114"/>
        <v>4.299279512548182E-2</v>
      </c>
      <c r="Z990" s="23">
        <f t="shared" si="115"/>
        <v>3.5140094757295515E-3</v>
      </c>
      <c r="AA990" s="36"/>
    </row>
    <row r="991" spans="4:27" ht="13.9" customHeight="1">
      <c r="D991" s="8"/>
      <c r="E991" s="9"/>
      <c r="F991" s="19"/>
      <c r="G991" s="19"/>
      <c r="H991" s="19"/>
      <c r="J991" s="45"/>
      <c r="K991" s="45"/>
      <c r="L991" s="45"/>
      <c r="M991" s="43"/>
      <c r="O991" s="12">
        <f t="shared" si="109"/>
        <v>81.5</v>
      </c>
      <c r="P991" s="13">
        <v>978</v>
      </c>
      <c r="Q991" s="22">
        <v>2.7400550930386069E-2</v>
      </c>
      <c r="R991" s="19">
        <f t="shared" si="110"/>
        <v>2.8206697210403808E-2</v>
      </c>
      <c r="S991" s="22">
        <v>3.8334258374676411E-2</v>
      </c>
      <c r="T991" s="19">
        <f t="shared" si="111"/>
        <v>4.2993831364191326E-2</v>
      </c>
      <c r="U991" s="24">
        <v>3.9856218645387687E-2</v>
      </c>
      <c r="V991" s="24">
        <f t="shared" si="112"/>
        <v>4.2992547699624684E-2</v>
      </c>
      <c r="W991" s="23">
        <f t="shared" si="113"/>
        <v>3.5139895364126872E-3</v>
      </c>
      <c r="X991" s="24">
        <v>3.9549553473928079E-2</v>
      </c>
      <c r="Y991" s="24">
        <f t="shared" si="114"/>
        <v>4.2992868335004264E-2</v>
      </c>
      <c r="Z991" s="23">
        <f t="shared" si="115"/>
        <v>3.5140154058783679E-3</v>
      </c>
      <c r="AA991" s="36"/>
    </row>
    <row r="992" spans="4:27" ht="13.9" customHeight="1">
      <c r="D992" s="8"/>
      <c r="E992" s="9"/>
      <c r="F992" s="19"/>
      <c r="G992" s="19"/>
      <c r="H992" s="19"/>
      <c r="J992" s="45"/>
      <c r="K992" s="45"/>
      <c r="L992" s="45"/>
      <c r="M992" s="43"/>
      <c r="O992" s="12">
        <f t="shared" si="109"/>
        <v>81.583333333333329</v>
      </c>
      <c r="P992" s="13">
        <v>979</v>
      </c>
      <c r="Q992" s="22">
        <v>2.7401374046318816E-2</v>
      </c>
      <c r="R992" s="19">
        <f t="shared" si="110"/>
        <v>2.8207804802004688E-2</v>
      </c>
      <c r="S992" s="22">
        <v>3.8339007261060321E-2</v>
      </c>
      <c r="T992" s="19">
        <f t="shared" si="111"/>
        <v>4.2993897470272602E-2</v>
      </c>
      <c r="U992" s="24">
        <v>3.9859417433529165E-2</v>
      </c>
      <c r="V992" s="24">
        <f t="shared" si="112"/>
        <v>4.2992622168231298E-2</v>
      </c>
      <c r="W992" s="23">
        <f t="shared" si="113"/>
        <v>3.5139955675069778E-3</v>
      </c>
      <c r="X992" s="24">
        <v>3.9553064843241392E-2</v>
      </c>
      <c r="Y992" s="24">
        <f t="shared" si="114"/>
        <v>4.299294080074767E-2</v>
      </c>
      <c r="Z992" s="23">
        <f t="shared" si="115"/>
        <v>3.5140212757478473E-3</v>
      </c>
      <c r="AA992" s="36"/>
    </row>
    <row r="993" spans="4:27" ht="13.9" customHeight="1">
      <c r="D993" s="8"/>
      <c r="E993" s="9"/>
      <c r="F993" s="19"/>
      <c r="G993" s="19"/>
      <c r="H993" s="19"/>
      <c r="J993" s="45"/>
      <c r="K993" s="45"/>
      <c r="L993" s="45"/>
      <c r="M993" s="43"/>
      <c r="O993" s="12">
        <f t="shared" si="109"/>
        <v>81.666666666666671</v>
      </c>
      <c r="P993" s="13">
        <v>980</v>
      </c>
      <c r="Q993" s="22">
        <v>2.7402196612391183E-2</v>
      </c>
      <c r="R993" s="19">
        <f t="shared" si="110"/>
        <v>2.8208903180023004E-2</v>
      </c>
      <c r="S993" s="22">
        <v>3.8343746544646784E-2</v>
      </c>
      <c r="T993" s="19">
        <f t="shared" si="111"/>
        <v>4.2993962868123514E-2</v>
      </c>
      <c r="U993" s="24">
        <v>3.9862609779101943E-2</v>
      </c>
      <c r="V993" s="24">
        <f t="shared" si="112"/>
        <v>4.2992695892435595E-2</v>
      </c>
      <c r="W993" s="23">
        <f t="shared" si="113"/>
        <v>3.514001538329925E-3</v>
      </c>
      <c r="X993" s="24">
        <v>3.9556569132020325E-2</v>
      </c>
      <c r="Y993" s="24">
        <f t="shared" si="114"/>
        <v>4.2993012530244012E-2</v>
      </c>
      <c r="Z993" s="23">
        <f t="shared" si="115"/>
        <v>3.5140270859816969E-3</v>
      </c>
      <c r="AA993" s="36"/>
    </row>
    <row r="994" spans="4:27" ht="13.9" customHeight="1">
      <c r="D994" s="8"/>
      <c r="E994" s="9"/>
      <c r="F994" s="19"/>
      <c r="G994" s="19"/>
      <c r="H994" s="19"/>
      <c r="J994" s="45"/>
      <c r="K994" s="45"/>
      <c r="L994" s="45"/>
      <c r="M994" s="43"/>
      <c r="O994" s="12">
        <f t="shared" si="109"/>
        <v>81.75</v>
      </c>
      <c r="P994" s="13">
        <v>981</v>
      </c>
      <c r="Q994" s="22">
        <v>2.7403018620899555E-2</v>
      </c>
      <c r="R994" s="19">
        <f t="shared" si="110"/>
        <v>2.8209992421081242E-2</v>
      </c>
      <c r="S994" s="22">
        <v>3.8348476254018049E-2</v>
      </c>
      <c r="T994" s="19">
        <f t="shared" si="111"/>
        <v>4.2994027565019577E-2</v>
      </c>
      <c r="U994" s="24">
        <v>3.9865795701022222E-2</v>
      </c>
      <c r="V994" s="24">
        <f t="shared" si="112"/>
        <v>4.2992768880196763E-2</v>
      </c>
      <c r="W994" s="23">
        <f t="shared" si="113"/>
        <v>3.5140074494670603E-3</v>
      </c>
      <c r="X994" s="24">
        <v>3.9560066361134405E-2</v>
      </c>
      <c r="Y994" s="24">
        <f t="shared" si="114"/>
        <v>4.299308353065534E-2</v>
      </c>
      <c r="Z994" s="23">
        <f t="shared" si="115"/>
        <v>3.5140328371832119E-3</v>
      </c>
      <c r="AA994" s="36"/>
    </row>
    <row r="995" spans="4:27" ht="13.9" customHeight="1">
      <c r="D995" s="8"/>
      <c r="E995" s="9"/>
      <c r="F995" s="19"/>
      <c r="G995" s="19"/>
      <c r="H995" s="19"/>
      <c r="J995" s="45"/>
      <c r="K995" s="45"/>
      <c r="L995" s="45"/>
      <c r="M995" s="43"/>
      <c r="O995" s="12">
        <f t="shared" si="109"/>
        <v>81.833333333333329</v>
      </c>
      <c r="P995" s="13">
        <v>982</v>
      </c>
      <c r="Q995" s="22">
        <v>2.7403840064249563E-2</v>
      </c>
      <c r="R995" s="19">
        <f t="shared" si="110"/>
        <v>2.8211072600616838E-2</v>
      </c>
      <c r="S995" s="22">
        <v>3.8353196417648006E-2</v>
      </c>
      <c r="T995" s="19">
        <f t="shared" si="111"/>
        <v>4.2994091568355985E-2</v>
      </c>
      <c r="U995" s="24">
        <v>3.986897521813737E-2</v>
      </c>
      <c r="V995" s="24">
        <f t="shared" si="112"/>
        <v>4.2992841138269622E-2</v>
      </c>
      <c r="W995" s="23">
        <f t="shared" si="113"/>
        <v>3.51401330155654E-3</v>
      </c>
      <c r="X995" s="24">
        <v>3.9563556551375667E-2</v>
      </c>
      <c r="Y995" s="24">
        <f t="shared" si="114"/>
        <v>4.2993153809328444E-2</v>
      </c>
      <c r="Z995" s="23">
        <f t="shared" si="115"/>
        <v>3.5140385299272658E-3</v>
      </c>
      <c r="AA995" s="36"/>
    </row>
    <row r="996" spans="4:27" ht="13.9" customHeight="1">
      <c r="D996" s="8"/>
      <c r="E996" s="9"/>
      <c r="F996" s="19"/>
      <c r="G996" s="19"/>
      <c r="H996" s="19"/>
      <c r="J996" s="45"/>
      <c r="K996" s="45"/>
      <c r="L996" s="45"/>
      <c r="M996" s="43"/>
      <c r="O996" s="12">
        <f t="shared" si="109"/>
        <v>81.916666666666671</v>
      </c>
      <c r="P996" s="13">
        <v>983</v>
      </c>
      <c r="Q996" s="22">
        <v>2.7404660934954528E-2</v>
      </c>
      <c r="R996" s="19">
        <f t="shared" si="110"/>
        <v>2.8212143795353972E-2</v>
      </c>
      <c r="S996" s="22">
        <v>3.8357907063902186E-2</v>
      </c>
      <c r="T996" s="19">
        <f t="shared" si="111"/>
        <v>4.2994154885880098E-2</v>
      </c>
      <c r="U996" s="24">
        <v>3.9872148349225034E-2</v>
      </c>
      <c r="V996" s="24">
        <f t="shared" si="112"/>
        <v>4.2992912674588935E-2</v>
      </c>
      <c r="W996" s="23">
        <f t="shared" si="113"/>
        <v>3.5140190951397088E-3</v>
      </c>
      <c r="X996" s="24">
        <v>3.9567039723459096E-2</v>
      </c>
      <c r="Y996" s="24">
        <f t="shared" si="114"/>
        <v>4.299322337441569E-2</v>
      </c>
      <c r="Z996" s="23">
        <f t="shared" si="115"/>
        <v>3.514044164802721E-3</v>
      </c>
      <c r="AA996" s="36"/>
    </row>
    <row r="997" spans="4:27" ht="13.9" customHeight="1">
      <c r="D997" s="8"/>
      <c r="E997" s="9"/>
      <c r="F997" s="19"/>
      <c r="G997" s="19"/>
      <c r="H997" s="19"/>
      <c r="J997" s="45"/>
      <c r="K997" s="45"/>
      <c r="L997" s="45"/>
      <c r="M997" s="43"/>
      <c r="O997" s="12">
        <f t="shared" si="109"/>
        <v>82</v>
      </c>
      <c r="P997" s="13">
        <v>984</v>
      </c>
      <c r="Q997" s="22">
        <v>2.7405481225635908E-2</v>
      </c>
      <c r="R997" s="19">
        <f t="shared" si="110"/>
        <v>2.8213206079203967E-2</v>
      </c>
      <c r="S997" s="22">
        <v>3.8362608221038874E-2</v>
      </c>
      <c r="T997" s="19">
        <f t="shared" si="111"/>
        <v>4.2994217525133216E-2</v>
      </c>
      <c r="U997" s="24">
        <v>3.9875315112994691E-2</v>
      </c>
      <c r="V997" s="24">
        <f t="shared" si="112"/>
        <v>4.2992983495965253E-2</v>
      </c>
      <c r="W997" s="23">
        <f t="shared" si="113"/>
        <v>3.5140248308531685E-3</v>
      </c>
      <c r="X997" s="24">
        <v>3.9570515898023961E-2</v>
      </c>
      <c r="Y997" s="24">
        <f t="shared" si="114"/>
        <v>4.2993292232290647E-2</v>
      </c>
      <c r="Z997" s="23">
        <f t="shared" si="115"/>
        <v>3.5140497424632766E-3</v>
      </c>
      <c r="AA997" s="36"/>
    </row>
    <row r="998" spans="4:27" ht="13.9" customHeight="1">
      <c r="D998" s="8"/>
      <c r="E998" s="9"/>
      <c r="F998" s="19"/>
      <c r="G998" s="19"/>
      <c r="H998" s="19"/>
      <c r="J998" s="45"/>
      <c r="K998" s="45"/>
      <c r="L998" s="45"/>
      <c r="M998" s="43"/>
      <c r="O998" s="12">
        <f t="shared" si="109"/>
        <v>82.083333333333329</v>
      </c>
      <c r="P998" s="13">
        <v>985</v>
      </c>
      <c r="Q998" s="22">
        <v>2.7406300929020411E-2</v>
      </c>
      <c r="R998" s="19">
        <f t="shared" si="110"/>
        <v>2.8214259527329144E-2</v>
      </c>
      <c r="S998" s="22">
        <v>3.8367299917209552E-2</v>
      </c>
      <c r="T998" s="19">
        <f t="shared" si="111"/>
        <v>4.2994279492896581E-2</v>
      </c>
      <c r="U998" s="24">
        <v>3.9878475528086765E-2</v>
      </c>
      <c r="V998" s="24">
        <f t="shared" si="112"/>
        <v>4.2993053609139631E-2</v>
      </c>
      <c r="W998" s="23">
        <f t="shared" si="113"/>
        <v>3.5140305092429269E-3</v>
      </c>
      <c r="X998" s="24">
        <v>3.9573985095632036E-2</v>
      </c>
      <c r="Y998" s="24">
        <f t="shared" si="114"/>
        <v>4.2993360390507274E-2</v>
      </c>
      <c r="Z998" s="23">
        <f t="shared" si="115"/>
        <v>3.5140552634196354E-3</v>
      </c>
      <c r="AA998" s="36"/>
    </row>
    <row r="999" spans="4:27" ht="13.9" customHeight="1">
      <c r="D999" s="8"/>
      <c r="E999" s="9"/>
      <c r="F999" s="19"/>
      <c r="G999" s="19"/>
      <c r="H999" s="19"/>
      <c r="J999" s="45"/>
      <c r="K999" s="45"/>
      <c r="L999" s="45"/>
      <c r="M999" s="43"/>
      <c r="O999" s="12">
        <f t="shared" si="109"/>
        <v>82.166666666666671</v>
      </c>
      <c r="P999" s="13">
        <v>986</v>
      </c>
      <c r="Q999" s="22">
        <v>2.7407120037940214E-2</v>
      </c>
      <c r="R999" s="19">
        <f t="shared" si="110"/>
        <v>2.8215304212713566E-2</v>
      </c>
      <c r="S999" s="22">
        <v>3.8371982180458453E-2</v>
      </c>
      <c r="T999" s="19">
        <f t="shared" si="111"/>
        <v>4.2994340796272956E-2</v>
      </c>
      <c r="U999" s="24">
        <v>3.9881629613073288E-2</v>
      </c>
      <c r="V999" s="24">
        <f t="shared" si="112"/>
        <v>4.2993123022402324E-2</v>
      </c>
      <c r="W999" s="23">
        <f t="shared" si="113"/>
        <v>3.5140361308492185E-3</v>
      </c>
      <c r="X999" s="24">
        <v>3.9577447336769822E-2</v>
      </c>
      <c r="Y999" s="24">
        <f t="shared" si="114"/>
        <v>4.2993427856214073E-2</v>
      </c>
      <c r="Z999" s="23">
        <f t="shared" si="115"/>
        <v>3.514060728277979E-3</v>
      </c>
      <c r="AA999" s="36"/>
    </row>
    <row r="1000" spans="4:27" ht="13.9" customHeight="1">
      <c r="D1000" s="8"/>
      <c r="E1000" s="9"/>
      <c r="F1000" s="19"/>
      <c r="G1000" s="19"/>
      <c r="H1000" s="19"/>
      <c r="J1000" s="45"/>
      <c r="K1000" s="45"/>
      <c r="L1000" s="45"/>
      <c r="M1000" s="43"/>
      <c r="O1000" s="12">
        <f t="shared" si="109"/>
        <v>82.25</v>
      </c>
      <c r="P1000" s="13">
        <v>987</v>
      </c>
      <c r="Q1000" s="22">
        <v>2.7407938545330524E-2</v>
      </c>
      <c r="R1000" s="19">
        <f t="shared" si="110"/>
        <v>2.8216340208618185E-2</v>
      </c>
      <c r="S1000" s="22">
        <v>3.8376655038723895E-2</v>
      </c>
      <c r="T1000" s="19">
        <f t="shared" si="111"/>
        <v>4.2994401442971952E-2</v>
      </c>
      <c r="U1000" s="24">
        <v>3.9884777386459014E-2</v>
      </c>
      <c r="V1000" s="24">
        <f t="shared" si="112"/>
        <v>4.2993191741495851E-2</v>
      </c>
      <c r="W1000" s="23">
        <f t="shared" si="113"/>
        <v>3.5140416963370669E-3</v>
      </c>
      <c r="X1000" s="24">
        <v>3.9580902641847882E-2</v>
      </c>
      <c r="Y1000" s="24">
        <f t="shared" si="114"/>
        <v>4.2993494636239804E-2</v>
      </c>
      <c r="Z1000" s="23">
        <f t="shared" si="115"/>
        <v>3.5140661376111826E-3</v>
      </c>
      <c r="AA1000" s="36"/>
    </row>
    <row r="1001" spans="4:27" ht="13.9" customHeight="1">
      <c r="D1001" s="8"/>
      <c r="E1001" s="9"/>
      <c r="F1001" s="19"/>
      <c r="G1001" s="19"/>
      <c r="H1001" s="19"/>
      <c r="J1001" s="45"/>
      <c r="K1001" s="45"/>
      <c r="L1001" s="45"/>
      <c r="M1001" s="43"/>
      <c r="O1001" s="12">
        <f t="shared" si="109"/>
        <v>82.333333333333329</v>
      </c>
      <c r="P1001" s="13">
        <v>988</v>
      </c>
      <c r="Q1001" s="22">
        <v>2.7408756444229132E-2</v>
      </c>
      <c r="R1001" s="19">
        <f t="shared" si="110"/>
        <v>2.8217367587887177E-2</v>
      </c>
      <c r="S1001" s="22">
        <v>3.8381318519838725E-2</v>
      </c>
      <c r="T1001" s="19">
        <f t="shared" si="111"/>
        <v>4.2994461439750165E-2</v>
      </c>
      <c r="U1001" s="24">
        <v>3.9887918866680083E-2</v>
      </c>
      <c r="V1001" s="24">
        <f t="shared" si="112"/>
        <v>4.2993259773857595E-2</v>
      </c>
      <c r="W1001" s="23">
        <f t="shared" si="113"/>
        <v>3.5140472061667705E-3</v>
      </c>
      <c r="X1001" s="24">
        <v>3.9584351031201059E-2</v>
      </c>
      <c r="Y1001" s="24">
        <f t="shared" si="114"/>
        <v>4.2993560737650816E-2</v>
      </c>
      <c r="Z1001" s="23">
        <f t="shared" si="115"/>
        <v>3.5140714919668081E-3</v>
      </c>
      <c r="AA1001" s="36"/>
    </row>
    <row r="1002" spans="4:27" ht="13.9" customHeight="1">
      <c r="D1002" s="8"/>
      <c r="E1002" s="9"/>
      <c r="F1002" s="19"/>
      <c r="G1002" s="19"/>
      <c r="H1002" s="19"/>
      <c r="J1002" s="45"/>
      <c r="K1002" s="45"/>
      <c r="L1002" s="45"/>
      <c r="M1002" s="43"/>
      <c r="O1002" s="12">
        <f t="shared" si="109"/>
        <v>82.416666666666671</v>
      </c>
      <c r="P1002" s="13">
        <v>989</v>
      </c>
      <c r="Q1002" s="22">
        <v>2.7409573727775749E-2</v>
      </c>
      <c r="R1002" s="19">
        <f t="shared" si="110"/>
        <v>2.821838642175778E-2</v>
      </c>
      <c r="S1002" s="22">
        <v>3.8385972651530542E-2</v>
      </c>
      <c r="T1002" s="19">
        <f t="shared" si="111"/>
        <v>4.2994520793380175E-2</v>
      </c>
      <c r="U1002" s="24">
        <v>3.9891054072105581E-2</v>
      </c>
      <c r="V1002" s="24">
        <f t="shared" si="112"/>
        <v>4.2993327126700898E-2</v>
      </c>
      <c r="W1002" s="23">
        <f t="shared" si="113"/>
        <v>3.5140526609345191E-3</v>
      </c>
      <c r="X1002" s="24">
        <v>3.9587792525089593E-2</v>
      </c>
      <c r="Y1002" s="24">
        <f t="shared" si="114"/>
        <v>4.2993626167576293E-2</v>
      </c>
      <c r="Z1002" s="23">
        <f t="shared" si="115"/>
        <v>3.5140767919115135E-3</v>
      </c>
      <c r="AA1002" s="36"/>
    </row>
    <row r="1003" spans="4:27" ht="13.9" customHeight="1">
      <c r="D1003" s="8"/>
      <c r="E1003" s="9"/>
      <c r="F1003" s="19"/>
      <c r="G1003" s="19"/>
      <c r="H1003" s="19"/>
      <c r="J1003" s="45"/>
      <c r="K1003" s="45"/>
      <c r="L1003" s="45"/>
      <c r="M1003" s="43"/>
      <c r="O1003" s="12">
        <f t="shared" si="109"/>
        <v>82.5</v>
      </c>
      <c r="P1003" s="13">
        <v>990</v>
      </c>
      <c r="Q1003" s="22">
        <v>2.741039038920956E-2</v>
      </c>
      <c r="R1003" s="19">
        <f t="shared" si="110"/>
        <v>2.8219396781482775E-2</v>
      </c>
      <c r="S1003" s="22">
        <v>3.8390617461421694E-2</v>
      </c>
      <c r="T1003" s="19">
        <f t="shared" si="111"/>
        <v>4.2994579511114406E-2</v>
      </c>
      <c r="U1003" s="24">
        <v>3.9894183021037533E-2</v>
      </c>
      <c r="V1003" s="24">
        <f t="shared" si="112"/>
        <v>4.2993393806250335E-2</v>
      </c>
      <c r="W1003" s="23">
        <f t="shared" si="113"/>
        <v>3.5140580612189609E-3</v>
      </c>
      <c r="X1003" s="24">
        <v>3.9591227143698893E-2</v>
      </c>
      <c r="Y1003" s="24">
        <f t="shared" si="114"/>
        <v>4.2993690932416895E-2</v>
      </c>
      <c r="Z1003" s="23">
        <f t="shared" si="115"/>
        <v>3.5140820380168414E-3</v>
      </c>
      <c r="AA1003" s="36"/>
    </row>
    <row r="1004" spans="4:27" ht="13.9" customHeight="1">
      <c r="D1004" s="8"/>
      <c r="E1004" s="9"/>
      <c r="F1004" s="19"/>
      <c r="G1004" s="19"/>
      <c r="H1004" s="19"/>
      <c r="J1004" s="45"/>
      <c r="K1004" s="45"/>
      <c r="L1004" s="45"/>
      <c r="M1004" s="43"/>
      <c r="O1004" s="12">
        <f t="shared" si="109"/>
        <v>82.583333333333329</v>
      </c>
      <c r="P1004" s="13">
        <v>991</v>
      </c>
      <c r="Q1004" s="22">
        <v>2.7411206421869005E-2</v>
      </c>
      <c r="R1004" s="19">
        <f t="shared" si="110"/>
        <v>2.8220398738174168E-2</v>
      </c>
      <c r="S1004" s="22">
        <v>3.8395252977030836E-2</v>
      </c>
      <c r="T1004" s="19">
        <f t="shared" si="111"/>
        <v>4.2994637599381935E-2</v>
      </c>
      <c r="U1004" s="24">
        <v>3.9897305731710686E-2</v>
      </c>
      <c r="V1004" s="24">
        <f t="shared" si="112"/>
        <v>4.2993459819512081E-2</v>
      </c>
      <c r="W1004" s="23">
        <f t="shared" si="113"/>
        <v>3.5140634075190302E-3</v>
      </c>
      <c r="X1004" s="24">
        <v>3.9594654907139315E-2</v>
      </c>
      <c r="Y1004" s="24">
        <f t="shared" si="114"/>
        <v>4.2993755039266723E-2</v>
      </c>
      <c r="Z1004" s="23">
        <f t="shared" si="115"/>
        <v>3.514087230796159E-3</v>
      </c>
      <c r="AA1004" s="36"/>
    </row>
    <row r="1005" spans="4:27" ht="13.9" customHeight="1">
      <c r="D1005" s="8"/>
      <c r="E1005" s="9"/>
      <c r="F1005" s="19"/>
      <c r="G1005" s="19"/>
      <c r="H1005" s="19"/>
      <c r="J1005" s="45"/>
      <c r="K1005" s="45"/>
      <c r="L1005" s="45"/>
      <c r="M1005" s="43"/>
      <c r="O1005" s="12">
        <f t="shared" si="109"/>
        <v>82.666666666666671</v>
      </c>
      <c r="P1005" s="13">
        <v>992</v>
      </c>
      <c r="Q1005" s="22">
        <v>2.741202181919089E-2</v>
      </c>
      <c r="R1005" s="19">
        <f t="shared" si="110"/>
        <v>2.8221392361762465E-2</v>
      </c>
      <c r="S1005" s="22">
        <v>3.8399879225772038E-2</v>
      </c>
      <c r="T1005" s="19">
        <f t="shared" si="111"/>
        <v>4.2994695065114996E-2</v>
      </c>
      <c r="U1005" s="24">
        <v>3.9900422222293397E-2</v>
      </c>
      <c r="V1005" s="24">
        <f t="shared" si="112"/>
        <v>4.2993525173027347E-2</v>
      </c>
      <c r="W1005" s="23">
        <f t="shared" si="113"/>
        <v>3.5140687003964999E-3</v>
      </c>
      <c r="X1005" s="24">
        <v>3.9598075835447943E-2</v>
      </c>
      <c r="Y1005" s="24">
        <f t="shared" si="114"/>
        <v>4.2993818494612146E-2</v>
      </c>
      <c r="Z1005" s="23">
        <f t="shared" si="115"/>
        <v>3.5140923708181226E-3</v>
      </c>
      <c r="AA1005" s="36"/>
    </row>
    <row r="1006" spans="4:27" ht="13.9" customHeight="1">
      <c r="D1006" s="8"/>
      <c r="E1006" s="9"/>
      <c r="F1006" s="19"/>
      <c r="G1006" s="19"/>
      <c r="H1006" s="19"/>
      <c r="J1006" s="45"/>
      <c r="K1006" s="45"/>
      <c r="L1006" s="45"/>
      <c r="M1006" s="43"/>
      <c r="O1006" s="12">
        <f t="shared" si="109"/>
        <v>82.75</v>
      </c>
      <c r="P1006" s="13">
        <v>993</v>
      </c>
      <c r="Q1006" s="22">
        <v>2.7412836574708832E-2</v>
      </c>
      <c r="R1006" s="19">
        <f t="shared" si="110"/>
        <v>2.8222377721186298E-2</v>
      </c>
      <c r="S1006" s="22">
        <v>3.8404496234956564E-2</v>
      </c>
      <c r="T1006" s="19">
        <f t="shared" si="111"/>
        <v>4.2994751915372609E-2</v>
      </c>
      <c r="U1006" s="24">
        <v>3.9903532510887407E-2</v>
      </c>
      <c r="V1006" s="24">
        <f t="shared" si="112"/>
        <v>4.2993589873431937E-2</v>
      </c>
      <c r="W1006" s="23">
        <f t="shared" si="113"/>
        <v>3.5140739403758392E-3</v>
      </c>
      <c r="X1006" s="24">
        <v>3.9601489948587032E-2</v>
      </c>
      <c r="Y1006" s="24">
        <f t="shared" si="114"/>
        <v>4.2993881305131598E-2</v>
      </c>
      <c r="Z1006" s="23">
        <f t="shared" si="115"/>
        <v>3.5140974586027607E-3</v>
      </c>
      <c r="AA1006" s="36"/>
    </row>
    <row r="1007" spans="4:27" ht="13.9" customHeight="1">
      <c r="D1007" s="8"/>
      <c r="E1007" s="9"/>
      <c r="F1007" s="19"/>
      <c r="G1007" s="19"/>
      <c r="H1007" s="19"/>
      <c r="J1007" s="45"/>
      <c r="K1007" s="45"/>
      <c r="L1007" s="45"/>
      <c r="M1007" s="43"/>
      <c r="O1007" s="12">
        <f t="shared" si="109"/>
        <v>82.833333333333329</v>
      </c>
      <c r="P1007" s="13">
        <v>994</v>
      </c>
      <c r="Q1007" s="22">
        <v>2.7413650682051927E-2</v>
      </c>
      <c r="R1007" s="19">
        <f t="shared" si="110"/>
        <v>2.8223354886044216E-2</v>
      </c>
      <c r="S1007" s="22">
        <v>3.8409104031792651E-2</v>
      </c>
      <c r="T1007" s="19">
        <f t="shared" si="111"/>
        <v>4.2994808155781605E-2</v>
      </c>
      <c r="U1007" s="24">
        <v>3.9906636615528512E-2</v>
      </c>
      <c r="V1007" s="24">
        <f t="shared" si="112"/>
        <v>4.299365392768717E-2</v>
      </c>
      <c r="W1007" s="23">
        <f t="shared" si="113"/>
        <v>3.5140791279890671E-3</v>
      </c>
      <c r="X1007" s="24">
        <v>3.9604897266446004E-2</v>
      </c>
      <c r="Y1007" s="24">
        <f t="shared" si="114"/>
        <v>4.2993943477577456E-2</v>
      </c>
      <c r="Z1007" s="23">
        <f t="shared" si="115"/>
        <v>3.5141024946856447E-3</v>
      </c>
      <c r="AA1007" s="36"/>
    </row>
    <row r="1008" spans="4:27" ht="13.9" customHeight="1">
      <c r="D1008" s="8"/>
      <c r="E1008" s="9"/>
      <c r="F1008" s="19"/>
      <c r="G1008" s="19"/>
      <c r="H1008" s="19"/>
      <c r="J1008" s="45"/>
      <c r="K1008" s="45"/>
      <c r="L1008" s="45"/>
      <c r="M1008" s="43"/>
      <c r="O1008" s="12">
        <f t="shared" si="109"/>
        <v>82.916666666666671</v>
      </c>
      <c r="P1008" s="13">
        <v>995</v>
      </c>
      <c r="Q1008" s="22">
        <v>2.7414464134944527E-2</v>
      </c>
      <c r="R1008" s="19">
        <f t="shared" si="110"/>
        <v>2.8224323924285644E-2</v>
      </c>
      <c r="S1008" s="22">
        <v>3.8413702643385284E-2</v>
      </c>
      <c r="T1008" s="19">
        <f t="shared" si="111"/>
        <v>4.2994863794080462E-2</v>
      </c>
      <c r="U1008" s="24">
        <v>3.9909734554186782E-2</v>
      </c>
      <c r="V1008" s="24">
        <f t="shared" si="112"/>
        <v>4.2993717341355486E-2</v>
      </c>
      <c r="W1008" s="23">
        <f t="shared" si="113"/>
        <v>3.5140842637944036E-3</v>
      </c>
      <c r="X1008" s="24">
        <v>3.9608297808840787E-2</v>
      </c>
      <c r="Y1008" s="24">
        <f t="shared" si="114"/>
        <v>4.2994005018207604E-2</v>
      </c>
      <c r="Z1008" s="23">
        <f t="shared" si="115"/>
        <v>3.5141074796081195E-3</v>
      </c>
      <c r="AA1008" s="36"/>
    </row>
    <row r="1009" spans="4:27" ht="13.9" customHeight="1">
      <c r="D1009" s="8"/>
      <c r="E1009" s="9"/>
      <c r="F1009" s="19"/>
      <c r="G1009" s="19"/>
      <c r="H1009" s="19"/>
      <c r="J1009" s="45"/>
      <c r="K1009" s="45"/>
      <c r="L1009" s="45"/>
      <c r="M1009" s="43"/>
      <c r="O1009" s="12">
        <f t="shared" si="109"/>
        <v>83</v>
      </c>
      <c r="P1009" s="13">
        <v>996</v>
      </c>
      <c r="Q1009" s="22">
        <v>2.741527692720469E-2</v>
      </c>
      <c r="R1009" s="19">
        <f t="shared" si="110"/>
        <v>2.8225284903319769E-2</v>
      </c>
      <c r="S1009" s="22">
        <v>3.8418292096738416E-2</v>
      </c>
      <c r="T1009" s="19">
        <f t="shared" si="111"/>
        <v>4.2994918835592921E-2</v>
      </c>
      <c r="U1009" s="24">
        <v>3.9912826344766117E-2</v>
      </c>
      <c r="V1009" s="24">
        <f t="shared" si="112"/>
        <v>4.2993780121326264E-2</v>
      </c>
      <c r="W1009" s="23">
        <f t="shared" si="113"/>
        <v>3.5140893482379365E-3</v>
      </c>
      <c r="X1009" s="24">
        <v>3.9611691595514253E-2</v>
      </c>
      <c r="Y1009" s="24">
        <f t="shared" si="114"/>
        <v>4.2994065933481318E-2</v>
      </c>
      <c r="Z1009" s="23">
        <f t="shared" si="115"/>
        <v>3.5141124138722279E-3</v>
      </c>
      <c r="AA1009" s="36"/>
    </row>
    <row r="1010" spans="4:27" ht="13.9" customHeight="1">
      <c r="D1010" s="8"/>
      <c r="E1010" s="9"/>
      <c r="F1010" s="19"/>
      <c r="G1010" s="19"/>
      <c r="H1010" s="19"/>
      <c r="J1010" s="45"/>
      <c r="K1010" s="45"/>
      <c r="L1010" s="45"/>
      <c r="M1010" s="43"/>
      <c r="O1010" s="12">
        <f t="shared" si="109"/>
        <v>83.083333333333329</v>
      </c>
      <c r="P1010" s="13">
        <v>997</v>
      </c>
      <c r="Q1010" s="22">
        <v>2.7416089052742398E-2</v>
      </c>
      <c r="R1010" s="19">
        <f t="shared" si="110"/>
        <v>2.8226237890799144E-2</v>
      </c>
      <c r="S1010" s="22">
        <v>3.8422872418753418E-2</v>
      </c>
      <c r="T1010" s="19">
        <f t="shared" si="111"/>
        <v>4.2994973287745042E-2</v>
      </c>
      <c r="U1010" s="24">
        <v>3.991591200510558E-2</v>
      </c>
      <c r="V1010" s="24">
        <f t="shared" si="112"/>
        <v>4.299384227435965E-2</v>
      </c>
      <c r="W1010" s="23">
        <f t="shared" si="113"/>
        <v>3.5140943818718906E-3</v>
      </c>
      <c r="X1010" s="24">
        <v>3.961507864613667E-2</v>
      </c>
      <c r="Y1010" s="24">
        <f t="shared" si="114"/>
        <v>4.2994126229443763E-2</v>
      </c>
      <c r="Z1010" s="23">
        <f t="shared" si="115"/>
        <v>3.5141172979953339E-3</v>
      </c>
      <c r="AA1010" s="36"/>
    </row>
    <row r="1011" spans="4:27" ht="13.9" customHeight="1">
      <c r="D1011" s="8"/>
      <c r="E1011" s="9"/>
      <c r="F1011" s="19"/>
      <c r="G1011" s="19"/>
      <c r="H1011" s="19"/>
      <c r="J1011" s="45"/>
      <c r="K1011" s="45"/>
      <c r="L1011" s="45"/>
      <c r="M1011" s="43"/>
      <c r="O1011" s="12">
        <f t="shared" si="109"/>
        <v>83.166666666666671</v>
      </c>
      <c r="P1011" s="13">
        <v>998</v>
      </c>
      <c r="Q1011" s="22">
        <v>2.7416900505560227E-2</v>
      </c>
      <c r="R1011" s="19">
        <f t="shared" si="110"/>
        <v>2.8227182953426189E-2</v>
      </c>
      <c r="S1011" s="22">
        <v>3.8427443636231073E-2</v>
      </c>
      <c r="T1011" s="19">
        <f t="shared" si="111"/>
        <v>4.2995027155960486E-2</v>
      </c>
      <c r="U1011" s="24">
        <v>3.9918991552979177E-2</v>
      </c>
      <c r="V1011" s="24">
        <f t="shared" si="112"/>
        <v>4.2993903805702782E-2</v>
      </c>
      <c r="W1011" s="23">
        <f t="shared" si="113"/>
        <v>3.5140993652384989E-3</v>
      </c>
      <c r="X1011" s="24">
        <v>3.9618458980305693E-2</v>
      </c>
      <c r="Y1011" s="24">
        <f t="shared" si="114"/>
        <v>4.2994185913271865E-2</v>
      </c>
      <c r="Z1011" s="23">
        <f t="shared" si="115"/>
        <v>3.5141221324626049E-3</v>
      </c>
      <c r="AA1011" s="36"/>
    </row>
    <row r="1012" spans="4:27" ht="13.9" customHeight="1">
      <c r="D1012" s="8"/>
      <c r="E1012" s="9"/>
      <c r="F1012" s="19"/>
      <c r="G1012" s="19"/>
      <c r="H1012" s="19"/>
      <c r="J1012" s="45"/>
      <c r="K1012" s="45"/>
      <c r="L1012" s="45"/>
      <c r="M1012" s="43"/>
      <c r="O1012" s="12">
        <f t="shared" si="109"/>
        <v>83.25</v>
      </c>
      <c r="P1012" s="13">
        <v>999</v>
      </c>
      <c r="Q1012" s="22">
        <v>2.7417711279751122E-2</v>
      </c>
      <c r="R1012" s="19">
        <f t="shared" si="110"/>
        <v>2.8228120156610581E-2</v>
      </c>
      <c r="S1012" s="22">
        <v>3.8432005775870914E-2</v>
      </c>
      <c r="T1012" s="19">
        <f t="shared" si="111"/>
        <v>4.299508044712641E-2</v>
      </c>
      <c r="U1012" s="24">
        <v>3.9922065006095631E-2</v>
      </c>
      <c r="V1012" s="24">
        <f t="shared" si="112"/>
        <v>4.2993964722701561E-2</v>
      </c>
      <c r="W1012" s="23">
        <f t="shared" si="113"/>
        <v>3.5141042987583138E-3</v>
      </c>
      <c r="X1012" s="24">
        <v>3.9621832617547481E-2</v>
      </c>
      <c r="Y1012" s="24">
        <f t="shared" si="114"/>
        <v>4.2994244989896124E-2</v>
      </c>
      <c r="Z1012" s="23">
        <f t="shared" si="115"/>
        <v>3.5141269178493584E-3</v>
      </c>
      <c r="AA1012" s="36"/>
    </row>
    <row r="1013" spans="4:27" ht="13.9" customHeight="1">
      <c r="D1013" s="8"/>
      <c r="E1013" s="9"/>
      <c r="F1013" s="19"/>
      <c r="G1013" s="19"/>
      <c r="H1013" s="19"/>
      <c r="J1013" s="45"/>
      <c r="K1013" s="45"/>
      <c r="L1013" s="45"/>
      <c r="M1013" s="43"/>
      <c r="O1013" s="12">
        <f t="shared" si="109"/>
        <v>83.333333333333329</v>
      </c>
      <c r="P1013" s="13">
        <v>1000</v>
      </c>
      <c r="Q1013" s="22">
        <v>2.7418521369497295E-2</v>
      </c>
      <c r="R1013" s="19">
        <f t="shared" si="110"/>
        <v>2.8229049566339315E-2</v>
      </c>
      <c r="S1013" s="22">
        <v>3.8436558864272552E-2</v>
      </c>
      <c r="T1013" s="19">
        <f t="shared" si="111"/>
        <v>4.2995133166927157E-2</v>
      </c>
      <c r="U1013" s="24">
        <v>3.9925132382099937E-2</v>
      </c>
      <c r="V1013" s="24">
        <f t="shared" si="112"/>
        <v>4.2994025030826943E-2</v>
      </c>
      <c r="W1013" s="23">
        <f t="shared" si="113"/>
        <v>3.5141091830201976E-3</v>
      </c>
      <c r="X1013" s="24">
        <v>3.9625199577315584E-2</v>
      </c>
      <c r="Y1013" s="24">
        <f t="shared" si="114"/>
        <v>4.2994303467350781E-2</v>
      </c>
      <c r="Z1013" s="23">
        <f t="shared" si="115"/>
        <v>3.5141316545508339E-3</v>
      </c>
      <c r="AA1013" s="36"/>
    </row>
    <row r="1014" spans="4:27" ht="13.9" customHeight="1">
      <c r="D1014" s="8"/>
      <c r="E1014" s="9"/>
      <c r="F1014" s="19"/>
      <c r="G1014" s="19"/>
      <c r="H1014" s="19"/>
      <c r="J1014" s="45"/>
      <c r="K1014" s="45"/>
      <c r="L1014" s="45"/>
      <c r="M1014" s="43"/>
      <c r="O1014" s="12">
        <f t="shared" si="109"/>
        <v>83.416666666666671</v>
      </c>
      <c r="P1014" s="13">
        <v>1001</v>
      </c>
      <c r="Q1014" s="22">
        <v>2.7419330769069772E-2</v>
      </c>
      <c r="R1014" s="19">
        <f t="shared" si="110"/>
        <v>2.8229971247240027E-2</v>
      </c>
      <c r="S1014" s="22">
        <v>3.8441102927935233E-2</v>
      </c>
      <c r="T1014" s="19">
        <f t="shared" si="111"/>
        <v>4.2995185321880847E-2</v>
      </c>
      <c r="U1014" s="24">
        <v>3.9928193698572034E-2</v>
      </c>
      <c r="V1014" s="24">
        <f t="shared" si="112"/>
        <v>4.2994084736184712E-2</v>
      </c>
      <c r="W1014" s="23">
        <f t="shared" si="113"/>
        <v>3.5141140184631325E-3</v>
      </c>
      <c r="X1014" s="24">
        <v>3.9628559878993386E-2</v>
      </c>
      <c r="Y1014" s="24">
        <f t="shared" si="114"/>
        <v>4.2994361349380839E-2</v>
      </c>
      <c r="Z1014" s="23">
        <f t="shared" si="115"/>
        <v>3.5141363432114048E-3</v>
      </c>
      <c r="AA1014" s="36"/>
    </row>
    <row r="1015" spans="4:27" ht="13.9" customHeight="1">
      <c r="D1015" s="8"/>
      <c r="E1015" s="9"/>
      <c r="F1015" s="19"/>
      <c r="G1015" s="19"/>
      <c r="H1015" s="19"/>
      <c r="J1015" s="45"/>
      <c r="K1015" s="45"/>
      <c r="L1015" s="45"/>
      <c r="M1015" s="43"/>
      <c r="O1015" s="12">
        <f t="shared" si="109"/>
        <v>83.5</v>
      </c>
      <c r="P1015" s="13">
        <v>1002</v>
      </c>
      <c r="Q1015" s="22">
        <v>2.7420139472827287E-2</v>
      </c>
      <c r="R1015" s="19">
        <f t="shared" si="110"/>
        <v>2.8230885264506567E-2</v>
      </c>
      <c r="S1015" s="22">
        <v>3.8445637993259174E-2</v>
      </c>
      <c r="T1015" s="19">
        <f t="shared" si="111"/>
        <v>4.2995236917832136E-2</v>
      </c>
      <c r="U1015" s="24">
        <v>3.9931248973028133E-2</v>
      </c>
      <c r="V1015" s="24">
        <f t="shared" si="112"/>
        <v>4.2994143844669708E-2</v>
      </c>
      <c r="W1015" s="23">
        <f t="shared" si="113"/>
        <v>3.5141188055765049E-3</v>
      </c>
      <c r="X1015" s="24">
        <v>3.9631913541891439E-2</v>
      </c>
      <c r="Y1015" s="24">
        <f t="shared" si="114"/>
        <v>4.2994418643959698E-2</v>
      </c>
      <c r="Z1015" s="23">
        <f t="shared" si="115"/>
        <v>3.5141409841310534E-3</v>
      </c>
      <c r="AA1015" s="36"/>
    </row>
    <row r="1016" spans="4:27" ht="13.9" customHeight="1">
      <c r="D1016" s="8"/>
      <c r="E1016" s="9"/>
      <c r="F1016" s="19"/>
      <c r="G1016" s="19"/>
      <c r="H1016" s="19"/>
      <c r="J1016" s="45"/>
      <c r="K1016" s="45"/>
      <c r="L1016" s="45"/>
      <c r="M1016" s="43"/>
      <c r="O1016" s="12">
        <f t="shared" si="109"/>
        <v>83.583333333333329</v>
      </c>
      <c r="P1016" s="13">
        <v>1003</v>
      </c>
      <c r="Q1016" s="22">
        <v>2.7420947475215396E-2</v>
      </c>
      <c r="R1016" s="19">
        <f t="shared" si="110"/>
        <v>2.8231791680715546E-2</v>
      </c>
      <c r="S1016" s="22">
        <v>3.8450164086545113E-2</v>
      </c>
      <c r="T1016" s="19">
        <f t="shared" si="111"/>
        <v>4.2995287960887918E-2</v>
      </c>
      <c r="U1016" s="24">
        <v>3.9934298222920495E-2</v>
      </c>
      <c r="V1016" s="24">
        <f t="shared" si="112"/>
        <v>4.299420236298479E-2</v>
      </c>
      <c r="W1016" s="23">
        <f t="shared" si="113"/>
        <v>3.5141235448330477E-3</v>
      </c>
      <c r="X1016" s="24">
        <v>3.9635260585250576E-2</v>
      </c>
      <c r="Y1016" s="24">
        <f t="shared" si="114"/>
        <v>4.2994475356051609E-2</v>
      </c>
      <c r="Z1016" s="23">
        <f t="shared" si="115"/>
        <v>3.5141455779492681E-3</v>
      </c>
      <c r="AA1016" s="36"/>
    </row>
    <row r="1017" spans="4:27" ht="13.9" customHeight="1">
      <c r="D1017" s="8"/>
      <c r="E1017" s="9"/>
      <c r="F1017" s="19"/>
      <c r="G1017" s="19"/>
      <c r="H1017" s="19"/>
      <c r="J1017" s="45"/>
      <c r="K1017" s="45"/>
      <c r="L1017" s="45"/>
      <c r="M1017" s="43"/>
      <c r="O1017" s="12">
        <f t="shared" si="109"/>
        <v>83.666666666666671</v>
      </c>
      <c r="P1017" s="13">
        <v>1004</v>
      </c>
      <c r="Q1017" s="22">
        <v>2.7421754770764917E-2</v>
      </c>
      <c r="R1017" s="19">
        <f t="shared" si="110"/>
        <v>2.8232690560058948E-2</v>
      </c>
      <c r="S1017" s="22">
        <v>3.8454681233995647E-2</v>
      </c>
      <c r="T1017" s="19">
        <f t="shared" si="111"/>
        <v>4.2995338456988552E-2</v>
      </c>
      <c r="U1017" s="24">
        <v>3.9937341465638321E-2</v>
      </c>
      <c r="V1017" s="24">
        <f t="shared" si="112"/>
        <v>4.2994260296197684E-2</v>
      </c>
      <c r="W1017" s="23">
        <f t="shared" si="113"/>
        <v>3.5141282367701088E-3</v>
      </c>
      <c r="X1017" s="24">
        <v>3.9638601028240572E-2</v>
      </c>
      <c r="Y1017" s="24">
        <f t="shared" si="114"/>
        <v>4.299453149198218E-2</v>
      </c>
      <c r="Z1017" s="23">
        <f t="shared" si="115"/>
        <v>3.5141501250641749E-3</v>
      </c>
      <c r="AA1017" s="36"/>
    </row>
    <row r="1018" spans="4:27" ht="13.9" customHeight="1">
      <c r="D1018" s="8"/>
      <c r="E1018" s="9"/>
      <c r="F1018" s="19"/>
      <c r="G1018" s="19"/>
      <c r="H1018" s="19"/>
      <c r="J1018" s="45"/>
      <c r="K1018" s="45"/>
      <c r="L1018" s="45"/>
      <c r="M1018" s="43"/>
      <c r="O1018" s="12">
        <f t="shared" si="109"/>
        <v>83.75</v>
      </c>
      <c r="P1018" s="13">
        <v>1005</v>
      </c>
      <c r="Q1018" s="22">
        <v>2.742256135409149E-2</v>
      </c>
      <c r="R1018" s="19">
        <f t="shared" si="110"/>
        <v>2.8233581965402266E-2</v>
      </c>
      <c r="S1018" s="22">
        <v>3.8459189461714782E-2</v>
      </c>
      <c r="T1018" s="19">
        <f t="shared" si="111"/>
        <v>4.2995388411977142E-2</v>
      </c>
      <c r="U1018" s="24">
        <v>3.9940378718507086E-2</v>
      </c>
      <c r="V1018" s="24">
        <f t="shared" si="112"/>
        <v>4.2994317650624447E-2</v>
      </c>
      <c r="W1018" s="23">
        <f t="shared" si="113"/>
        <v>3.5141328817940298E-3</v>
      </c>
      <c r="X1018" s="24">
        <v>3.9641934889961039E-2</v>
      </c>
      <c r="Y1018" s="24">
        <f t="shared" si="114"/>
        <v>4.2994587057554101E-2</v>
      </c>
      <c r="Z1018" s="23">
        <f t="shared" si="115"/>
        <v>3.5141546259827017E-3</v>
      </c>
      <c r="AA1018" s="36"/>
    </row>
    <row r="1019" spans="4:27" ht="13.9" customHeight="1">
      <c r="D1019" s="8"/>
      <c r="E1019" s="9"/>
      <c r="F1019" s="19"/>
      <c r="G1019" s="19"/>
      <c r="H1019" s="19"/>
      <c r="J1019" s="45"/>
      <c r="K1019" s="45"/>
      <c r="L1019" s="45"/>
      <c r="M1019" s="43"/>
      <c r="O1019" s="12">
        <f t="shared" si="109"/>
        <v>83.833333333333329</v>
      </c>
      <c r="P1019" s="13">
        <v>1006</v>
      </c>
      <c r="Q1019" s="22">
        <v>2.7423367219894912E-2</v>
      </c>
      <c r="R1019" s="19">
        <f t="shared" si="110"/>
        <v>2.8234465958066446E-2</v>
      </c>
      <c r="S1019" s="22">
        <v>3.846368879570905E-2</v>
      </c>
      <c r="T1019" s="19">
        <f t="shared" si="111"/>
        <v>4.2995437831428562E-2</v>
      </c>
      <c r="U1019" s="24">
        <v>3.9943409998789647E-2</v>
      </c>
      <c r="V1019" s="24">
        <f t="shared" si="112"/>
        <v>4.2994374431765348E-2</v>
      </c>
      <c r="W1019" s="23">
        <f t="shared" si="113"/>
        <v>3.5141374804110725E-3</v>
      </c>
      <c r="X1019" s="24">
        <v>3.9645262189441643E-2</v>
      </c>
      <c r="Y1019" s="24">
        <f t="shared" si="114"/>
        <v>4.2994642058342913E-2</v>
      </c>
      <c r="Z1019" s="23">
        <f t="shared" si="115"/>
        <v>3.5141590811704759E-3</v>
      </c>
      <c r="AA1019" s="36"/>
    </row>
    <row r="1020" spans="4:27" ht="13.9" customHeight="1">
      <c r="D1020" s="8"/>
      <c r="E1020" s="9"/>
      <c r="F1020" s="19"/>
      <c r="G1020" s="19"/>
      <c r="H1020" s="19"/>
      <c r="J1020" s="45"/>
      <c r="K1020" s="45"/>
      <c r="L1020" s="45"/>
      <c r="M1020" s="43"/>
      <c r="O1020" s="12">
        <f t="shared" si="109"/>
        <v>83.916666666666671</v>
      </c>
      <c r="P1020" s="13">
        <v>1007</v>
      </c>
      <c r="Q1020" s="22">
        <v>2.7424172362957133E-2</v>
      </c>
      <c r="R1020" s="19">
        <f t="shared" si="110"/>
        <v>2.8235342601333535E-2</v>
      </c>
      <c r="S1020" s="22">
        <v>3.8468179261887281E-2</v>
      </c>
      <c r="T1020" s="19">
        <f t="shared" si="111"/>
        <v>4.2995486721268739E-2</v>
      </c>
      <c r="U1020" s="24">
        <v>3.9946435323685581E-2</v>
      </c>
      <c r="V1020" s="24">
        <f t="shared" si="112"/>
        <v>4.2994430645807213E-2</v>
      </c>
      <c r="W1020" s="23">
        <f t="shared" si="113"/>
        <v>3.5141420330626616E-3</v>
      </c>
      <c r="X1020" s="24">
        <v>3.9648582945641886E-2</v>
      </c>
      <c r="Y1020" s="24">
        <f t="shared" si="114"/>
        <v>4.2994696500618046E-2</v>
      </c>
      <c r="Z1020" s="23">
        <f t="shared" si="115"/>
        <v>3.5141634910742514E-3</v>
      </c>
      <c r="AA1020" s="36"/>
    </row>
    <row r="1021" spans="4:27" ht="13.9" customHeight="1">
      <c r="D1021" s="8"/>
      <c r="E1021" s="9"/>
      <c r="F1021" s="19"/>
      <c r="G1021" s="19"/>
      <c r="H1021" s="19"/>
      <c r="J1021" s="45"/>
      <c r="K1021" s="45"/>
      <c r="L1021" s="45"/>
      <c r="M1021" s="43"/>
      <c r="O1021" s="12">
        <f t="shared" si="109"/>
        <v>84</v>
      </c>
      <c r="P1021" s="13">
        <v>1008</v>
      </c>
      <c r="Q1021" s="22">
        <v>2.7424976778142929E-2</v>
      </c>
      <c r="R1021" s="19">
        <f t="shared" si="110"/>
        <v>2.8236211955444457E-2</v>
      </c>
      <c r="S1021" s="22">
        <v>3.8472660886061494E-2</v>
      </c>
      <c r="T1021" s="19">
        <f t="shared" si="111"/>
        <v>4.2995535087544834E-2</v>
      </c>
      <c r="U1021" s="24">
        <v>3.9949454710332732E-2</v>
      </c>
      <c r="V1021" s="24">
        <f t="shared" si="112"/>
        <v>4.2994486297449619E-2</v>
      </c>
      <c r="W1021" s="23">
        <f t="shared" si="113"/>
        <v>3.5141465402446226E-3</v>
      </c>
      <c r="X1021" s="24">
        <v>3.9651897177452655E-2</v>
      </c>
      <c r="Y1021" s="24">
        <f t="shared" si="114"/>
        <v>4.2994750388934078E-2</v>
      </c>
      <c r="Z1021" s="23">
        <f t="shared" si="115"/>
        <v>3.5141678561967371E-3</v>
      </c>
      <c r="AA1021" s="36"/>
    </row>
    <row r="1022" spans="4:27" ht="13.9" customHeight="1">
      <c r="D1022" s="8"/>
      <c r="E1022" s="9"/>
      <c r="F1022" s="19"/>
      <c r="G1022" s="19"/>
      <c r="H1022" s="19"/>
      <c r="J1022" s="45"/>
      <c r="K1022" s="45"/>
      <c r="L1022" s="45"/>
      <c r="M1022" s="43"/>
      <c r="O1022" s="12">
        <f t="shared" si="109"/>
        <v>84.083333333333329</v>
      </c>
      <c r="P1022" s="13">
        <v>1009</v>
      </c>
      <c r="Q1022" s="22">
        <v>2.7425780460397675E-2</v>
      </c>
      <c r="R1022" s="19">
        <f t="shared" si="110"/>
        <v>2.8237074080555535E-2</v>
      </c>
      <c r="S1022" s="22">
        <v>3.8477133693947785E-2</v>
      </c>
      <c r="T1022" s="19">
        <f t="shared" si="111"/>
        <v>4.2995582934820309E-2</v>
      </c>
      <c r="U1022" s="24">
        <v>3.9952468175805667E-2</v>
      </c>
      <c r="V1022" s="24">
        <f t="shared" si="112"/>
        <v>4.2994541393669206E-2</v>
      </c>
      <c r="W1022" s="23">
        <f t="shared" si="113"/>
        <v>3.5141510023337652E-3</v>
      </c>
      <c r="X1022" s="24">
        <v>3.9655204903694452E-2</v>
      </c>
      <c r="Y1022" s="24">
        <f t="shared" si="114"/>
        <v>4.2994803730358244E-2</v>
      </c>
      <c r="Z1022" s="23">
        <f t="shared" si="115"/>
        <v>3.5141721769031964E-3</v>
      </c>
      <c r="AA1022" s="36"/>
    </row>
    <row r="1023" spans="4:27" ht="13.9" customHeight="1">
      <c r="D1023" s="8"/>
      <c r="E1023" s="9"/>
      <c r="F1023" s="19"/>
      <c r="G1023" s="19"/>
      <c r="H1023" s="19"/>
      <c r="J1023" s="45"/>
      <c r="K1023" s="45"/>
      <c r="L1023" s="45"/>
      <c r="M1023" s="43"/>
      <c r="O1023" s="12">
        <f t="shared" si="109"/>
        <v>84.166666666666671</v>
      </c>
      <c r="P1023" s="13">
        <v>1010</v>
      </c>
      <c r="Q1023" s="22">
        <v>2.7426583404746019E-2</v>
      </c>
      <c r="R1023" s="19">
        <f t="shared" si="110"/>
        <v>2.8237929038257947E-2</v>
      </c>
      <c r="S1023" s="22">
        <v>3.8481597711164994E-2</v>
      </c>
      <c r="T1023" s="19">
        <f t="shared" si="111"/>
        <v>4.2995630269970997E-2</v>
      </c>
      <c r="U1023" s="24">
        <v>3.9955475737118107E-2</v>
      </c>
      <c r="V1023" s="24">
        <f t="shared" si="112"/>
        <v>4.2994595939211511E-2</v>
      </c>
      <c r="W1023" s="23">
        <f t="shared" si="113"/>
        <v>3.5141554198894198E-3</v>
      </c>
      <c r="X1023" s="24">
        <v>3.9658506143120054E-2</v>
      </c>
      <c r="Y1023" s="24">
        <f t="shared" si="114"/>
        <v>4.2994856529624537E-2</v>
      </c>
      <c r="Z1023" s="23">
        <f t="shared" si="115"/>
        <v>3.5141764537602871E-3</v>
      </c>
      <c r="AA1023" s="36"/>
    </row>
    <row r="1024" spans="4:27" ht="13.9" customHeight="1">
      <c r="D1024" s="8"/>
      <c r="E1024" s="9"/>
      <c r="F1024" s="19"/>
      <c r="G1024" s="19"/>
      <c r="H1024" s="19"/>
      <c r="J1024" s="45"/>
      <c r="K1024" s="45"/>
      <c r="L1024" s="45"/>
      <c r="M1024" s="43"/>
      <c r="O1024" s="12">
        <f t="shared" si="109"/>
        <v>84.25</v>
      </c>
      <c r="P1024" s="13">
        <v>1011</v>
      </c>
      <c r="Q1024" s="22">
        <v>2.7427385606292987E-2</v>
      </c>
      <c r="R1024" s="19">
        <f t="shared" si="110"/>
        <v>2.8238776887504979E-2</v>
      </c>
      <c r="S1024" s="22">
        <v>3.8486052963237372E-2</v>
      </c>
      <c r="T1024" s="19">
        <f t="shared" si="111"/>
        <v>4.2995677097601215E-2</v>
      </c>
      <c r="U1024" s="24">
        <v>3.9958477411221605E-2</v>
      </c>
      <c r="V1024" s="24">
        <f t="shared" si="112"/>
        <v>4.2994649939229523E-2</v>
      </c>
      <c r="W1024" s="23">
        <f t="shared" si="113"/>
        <v>3.5141597932921709E-3</v>
      </c>
      <c r="X1024" s="24">
        <v>3.9661800914413181E-2</v>
      </c>
      <c r="Y1024" s="24">
        <f t="shared" si="114"/>
        <v>4.2994908792155506E-2</v>
      </c>
      <c r="Z1024" s="23">
        <f t="shared" si="115"/>
        <v>3.5141806871474834E-3</v>
      </c>
      <c r="AA1024" s="36"/>
    </row>
    <row r="1025" spans="4:27" ht="13.9" customHeight="1">
      <c r="D1025" s="8"/>
      <c r="E1025" s="9"/>
      <c r="F1025" s="19"/>
      <c r="G1025" s="19"/>
      <c r="H1025" s="19"/>
      <c r="J1025" s="45"/>
      <c r="K1025" s="45"/>
      <c r="L1025" s="45"/>
      <c r="M1025" s="43"/>
      <c r="O1025" s="12">
        <f t="shared" si="109"/>
        <v>84.333333333333329</v>
      </c>
      <c r="P1025" s="13">
        <v>1012</v>
      </c>
      <c r="Q1025" s="22">
        <v>2.7428187060221543E-2</v>
      </c>
      <c r="R1025" s="19">
        <f t="shared" si="110"/>
        <v>2.8239617687324525E-2</v>
      </c>
      <c r="S1025" s="22">
        <v>3.8490499475593465E-2</v>
      </c>
      <c r="T1025" s="19">
        <f t="shared" si="111"/>
        <v>4.2995723423286503E-2</v>
      </c>
      <c r="U1025" s="24">
        <v>3.9961473215005539E-2</v>
      </c>
      <c r="V1025" s="24">
        <f t="shared" si="112"/>
        <v>4.2994703400088818E-2</v>
      </c>
      <c r="W1025" s="23">
        <f t="shared" si="113"/>
        <v>3.5141641229552434E-3</v>
      </c>
      <c r="X1025" s="24">
        <v>3.9665089236189166E-2</v>
      </c>
      <c r="Y1025" s="24">
        <f t="shared" si="114"/>
        <v>4.2994960523937031E-2</v>
      </c>
      <c r="Z1025" s="23">
        <f t="shared" si="115"/>
        <v>3.5141848774997708E-3</v>
      </c>
      <c r="AA1025" s="36"/>
    </row>
    <row r="1026" spans="4:27" ht="13.9" customHeight="1">
      <c r="D1026" s="8"/>
      <c r="E1026" s="9"/>
      <c r="F1026" s="19"/>
      <c r="G1026" s="19"/>
      <c r="H1026" s="19"/>
      <c r="J1026" s="45"/>
      <c r="K1026" s="45"/>
      <c r="L1026" s="45"/>
      <c r="M1026" s="43"/>
      <c r="O1026" s="12">
        <f t="shared" si="109"/>
        <v>84.416666666666671</v>
      </c>
      <c r="P1026" s="13">
        <v>1013</v>
      </c>
      <c r="Q1026" s="22">
        <v>2.7428987761791701E-2</v>
      </c>
      <c r="R1026" s="19">
        <f t="shared" si="110"/>
        <v>2.8240451497061558E-2</v>
      </c>
      <c r="S1026" s="22">
        <v>3.8494937273566787E-2</v>
      </c>
      <c r="T1026" s="19">
        <f t="shared" si="111"/>
        <v>4.2995769252723193E-2</v>
      </c>
      <c r="U1026" s="24">
        <v>3.9964463165299113E-2</v>
      </c>
      <c r="V1026" s="24">
        <f t="shared" si="112"/>
        <v>4.2994756326487416E-2</v>
      </c>
      <c r="W1026" s="23">
        <f t="shared" si="113"/>
        <v>3.5141684093888959E-3</v>
      </c>
      <c r="X1026" s="24">
        <v>3.9668371126995394E-2</v>
      </c>
      <c r="Y1026" s="24">
        <f t="shared" si="114"/>
        <v>4.2995011729839661E-2</v>
      </c>
      <c r="Z1026" s="23">
        <f t="shared" si="115"/>
        <v>3.5141890252969876E-3</v>
      </c>
      <c r="AA1026" s="36"/>
    </row>
    <row r="1027" spans="4:27" ht="13.9" customHeight="1">
      <c r="D1027" s="8"/>
      <c r="E1027" s="9"/>
      <c r="F1027" s="19"/>
      <c r="G1027" s="19"/>
      <c r="H1027" s="19"/>
      <c r="J1027" s="45"/>
      <c r="K1027" s="45"/>
      <c r="L1027" s="45"/>
      <c r="M1027" s="43"/>
      <c r="O1027" s="12">
        <f t="shared" si="109"/>
        <v>84.5</v>
      </c>
      <c r="P1027" s="13">
        <v>1014</v>
      </c>
      <c r="Q1027" s="22">
        <v>2.7429787706340525E-2</v>
      </c>
      <c r="R1027" s="19">
        <f t="shared" si="110"/>
        <v>2.8241278374141476E-2</v>
      </c>
      <c r="S1027" s="22">
        <v>3.8499366382396705E-2</v>
      </c>
      <c r="T1027" s="19">
        <f t="shared" si="111"/>
        <v>4.2995814590821357E-2</v>
      </c>
      <c r="U1027" s="24">
        <v>3.9967447278869805E-2</v>
      </c>
      <c r="V1027" s="24">
        <f t="shared" si="112"/>
        <v>4.2994808723895828E-2</v>
      </c>
      <c r="W1027" s="23">
        <f t="shared" si="113"/>
        <v>3.5141726529697159E-3</v>
      </c>
      <c r="X1027" s="24">
        <v>3.9671646605311528E-2</v>
      </c>
      <c r="Y1027" s="24">
        <f t="shared" si="114"/>
        <v>4.2995062415174479E-2</v>
      </c>
      <c r="Z1027" s="23">
        <f t="shared" si="115"/>
        <v>3.5141931309294883E-3</v>
      </c>
      <c r="AA1027" s="36"/>
    </row>
    <row r="1028" spans="4:27" ht="13.9" customHeight="1">
      <c r="D1028" s="8"/>
      <c r="E1028" s="9"/>
      <c r="F1028" s="19"/>
      <c r="G1028" s="19"/>
      <c r="H1028" s="19"/>
      <c r="J1028" s="45"/>
      <c r="K1028" s="45"/>
      <c r="L1028" s="45"/>
      <c r="M1028" s="43"/>
      <c r="O1028" s="12">
        <f t="shared" si="109"/>
        <v>84.583333333333329</v>
      </c>
      <c r="P1028" s="13">
        <v>1015</v>
      </c>
      <c r="Q1028" s="22">
        <v>2.7430586889280129E-2</v>
      </c>
      <c r="R1028" s="19">
        <f t="shared" si="110"/>
        <v>2.824209837705749E-2</v>
      </c>
      <c r="S1028" s="22">
        <v>3.8503786827228437E-2</v>
      </c>
      <c r="T1028" s="19">
        <f t="shared" si="111"/>
        <v>4.2995859443444084E-2</v>
      </c>
      <c r="U1028" s="24">
        <v>3.9970425572424695E-2</v>
      </c>
      <c r="V1028" s="24">
        <f t="shared" si="112"/>
        <v>4.2994860598083884E-2</v>
      </c>
      <c r="W1028" s="23">
        <f t="shared" si="113"/>
        <v>3.5141768541366858E-3</v>
      </c>
      <c r="X1028" s="24">
        <v>3.9674915689549506E-2</v>
      </c>
      <c r="Y1028" s="24">
        <f t="shared" si="114"/>
        <v>4.2995112586189599E-2</v>
      </c>
      <c r="Z1028" s="23">
        <f t="shared" si="115"/>
        <v>3.5141971948233763E-3</v>
      </c>
      <c r="AA1028" s="36"/>
    </row>
    <row r="1029" spans="4:27" ht="13.9" customHeight="1">
      <c r="D1029" s="8"/>
      <c r="E1029" s="9"/>
      <c r="F1029" s="19"/>
      <c r="G1029" s="19"/>
      <c r="H1029" s="19"/>
      <c r="J1029" s="45"/>
      <c r="K1029" s="45"/>
      <c r="L1029" s="45"/>
      <c r="M1029" s="43"/>
      <c r="O1029" s="12">
        <f t="shared" si="109"/>
        <v>84.666666666666671</v>
      </c>
      <c r="P1029" s="13">
        <v>1016</v>
      </c>
      <c r="Q1029" s="22">
        <v>2.7431385306098344E-2</v>
      </c>
      <c r="R1029" s="19">
        <f t="shared" si="110"/>
        <v>2.824291156293679E-2</v>
      </c>
      <c r="S1029" s="22">
        <v>3.8508198633113722E-2</v>
      </c>
      <c r="T1029" s="19">
        <f t="shared" si="111"/>
        <v>4.2995903814811776E-2</v>
      </c>
      <c r="U1029" s="24">
        <v>3.9973398062610466E-2</v>
      </c>
      <c r="V1029" s="24">
        <f t="shared" si="112"/>
        <v>4.2994911953605497E-2</v>
      </c>
      <c r="W1029" s="23">
        <f t="shared" si="113"/>
        <v>3.5141810133521023E-3</v>
      </c>
      <c r="X1029" s="24">
        <v>3.9678178398054875E-2</v>
      </c>
      <c r="Y1029" s="24">
        <f t="shared" si="114"/>
        <v>4.2995162246776575E-2</v>
      </c>
      <c r="Z1029" s="23">
        <f t="shared" si="115"/>
        <v>3.5142012174793624E-3</v>
      </c>
      <c r="AA1029" s="36"/>
    </row>
    <row r="1030" spans="4:27" ht="13.9" customHeight="1">
      <c r="D1030" s="8"/>
      <c r="E1030" s="9"/>
      <c r="F1030" s="19"/>
      <c r="G1030" s="19"/>
      <c r="H1030" s="19"/>
      <c r="J1030" s="45"/>
      <c r="K1030" s="45"/>
      <c r="L1030" s="45"/>
      <c r="M1030" s="43"/>
      <c r="O1030" s="12">
        <f t="shared" si="109"/>
        <v>84.75</v>
      </c>
      <c r="P1030" s="13">
        <v>1017</v>
      </c>
      <c r="Q1030" s="22">
        <v>2.7432182952356499E-2</v>
      </c>
      <c r="R1030" s="19">
        <f t="shared" si="110"/>
        <v>2.8243717987954442E-2</v>
      </c>
      <c r="S1030" s="22">
        <v>3.8512601825010595E-2</v>
      </c>
      <c r="T1030" s="19">
        <f t="shared" si="111"/>
        <v>4.2995947710929183E-2</v>
      </c>
      <c r="U1030" s="24">
        <v>3.9976364766013184E-2</v>
      </c>
      <c r="V1030" s="24">
        <f t="shared" si="112"/>
        <v>4.299496279585191E-2</v>
      </c>
      <c r="W1030" s="23">
        <f t="shared" si="113"/>
        <v>3.5141851309814509E-3</v>
      </c>
      <c r="X1030" s="24">
        <v>3.9681434749105238E-2</v>
      </c>
      <c r="Y1030" s="24">
        <f t="shared" si="114"/>
        <v>4.2995211402942157E-2</v>
      </c>
      <c r="Z1030" s="23">
        <f t="shared" si="115"/>
        <v>3.5142051992096413E-3</v>
      </c>
      <c r="AA1030" s="36"/>
    </row>
    <row r="1031" spans="4:27" ht="13.9" customHeight="1">
      <c r="D1031" s="8"/>
      <c r="E1031" s="9"/>
      <c r="F1031" s="19"/>
      <c r="G1031" s="19"/>
      <c r="H1031" s="19"/>
      <c r="J1031" s="45"/>
      <c r="K1031" s="45"/>
      <c r="L1031" s="45"/>
      <c r="M1031" s="43"/>
      <c r="O1031" s="12">
        <f t="shared" si="109"/>
        <v>84.833333333333329</v>
      </c>
      <c r="P1031" s="13">
        <v>1018</v>
      </c>
      <c r="Q1031" s="22">
        <v>2.7432979823688974E-2</v>
      </c>
      <c r="R1031" s="19">
        <f t="shared" si="110"/>
        <v>2.8244517708964967E-2</v>
      </c>
      <c r="S1031" s="22">
        <v>3.8516996427784722E-2</v>
      </c>
      <c r="T1031" s="19">
        <f t="shared" si="111"/>
        <v>4.299599113679764E-2</v>
      </c>
      <c r="U1031" s="24">
        <v>3.9979325699158963E-2</v>
      </c>
      <c r="V1031" s="24">
        <f t="shared" si="112"/>
        <v>4.2995013130255666E-2</v>
      </c>
      <c r="W1031" s="23">
        <f t="shared" si="113"/>
        <v>3.5141892074566083E-3</v>
      </c>
      <c r="X1031" s="24">
        <v>3.9684684760912248E-2</v>
      </c>
      <c r="Y1031" s="24">
        <f t="shared" si="114"/>
        <v>4.2995260059522922E-2</v>
      </c>
      <c r="Z1031" s="23">
        <f t="shared" si="115"/>
        <v>3.5142091404958276E-3</v>
      </c>
      <c r="AA1031" s="36"/>
    </row>
    <row r="1032" spans="4:27" ht="13.9" customHeight="1">
      <c r="D1032" s="8"/>
      <c r="E1032" s="9"/>
      <c r="F1032" s="19"/>
      <c r="G1032" s="19"/>
      <c r="H1032" s="19"/>
      <c r="J1032" s="45"/>
      <c r="K1032" s="45"/>
      <c r="L1032" s="45"/>
      <c r="M1032" s="43"/>
      <c r="O1032" s="12">
        <f t="shared" si="109"/>
        <v>84.916666666666671</v>
      </c>
      <c r="P1032" s="13">
        <v>1019</v>
      </c>
      <c r="Q1032" s="22">
        <v>2.7433775915802538E-2</v>
      </c>
      <c r="R1032" s="19">
        <f t="shared" si="110"/>
        <v>2.8245310781653377E-2</v>
      </c>
      <c r="S1032" s="22">
        <v>3.8521382466209397E-2</v>
      </c>
      <c r="T1032" s="19">
        <f t="shared" si="111"/>
        <v>4.2996034096997704E-2</v>
      </c>
      <c r="U1032" s="24">
        <v>3.9982280878514409E-2</v>
      </c>
      <c r="V1032" s="24">
        <f t="shared" si="112"/>
        <v>4.2995062961656005E-2</v>
      </c>
      <c r="W1032" s="23">
        <f t="shared" si="113"/>
        <v>3.5141932432132261E-3</v>
      </c>
      <c r="X1032" s="24">
        <v>3.9687928451620724E-2</v>
      </c>
      <c r="Y1032" s="24">
        <f t="shared" si="114"/>
        <v>4.2995308221892792E-2</v>
      </c>
      <c r="Z1032" s="23">
        <f t="shared" si="115"/>
        <v>3.5142130417258333E-3</v>
      </c>
      <c r="AA1032" s="36"/>
    </row>
    <row r="1033" spans="4:27" ht="13.9" customHeight="1">
      <c r="D1033" s="8"/>
      <c r="E1033" s="9"/>
      <c r="F1033" s="19"/>
      <c r="G1033" s="19"/>
      <c r="H1033" s="19"/>
      <c r="J1033" s="45"/>
      <c r="K1033" s="45"/>
      <c r="L1033" s="45"/>
      <c r="M1033" s="43"/>
      <c r="O1033" s="12">
        <f t="shared" si="109"/>
        <v>85</v>
      </c>
      <c r="P1033" s="13">
        <v>1020</v>
      </c>
      <c r="Q1033" s="22">
        <v>2.7434571224475679E-2</v>
      </c>
      <c r="R1033" s="19">
        <f t="shared" si="110"/>
        <v>2.8246097261467096E-2</v>
      </c>
      <c r="S1033" s="22">
        <v>3.8525759964965545E-2</v>
      </c>
      <c r="T1033" s="19">
        <f t="shared" si="111"/>
        <v>4.2996076596900412E-2</v>
      </c>
      <c r="U1033" s="24">
        <v>3.998523032048662E-2</v>
      </c>
      <c r="V1033" s="24">
        <f t="shared" si="112"/>
        <v>4.299511229513886E-2</v>
      </c>
      <c r="W1033" s="23">
        <f t="shared" si="113"/>
        <v>3.5141972386396603E-3</v>
      </c>
      <c r="X1033" s="24">
        <v>3.9691165839309983E-2</v>
      </c>
      <c r="Y1033" s="24">
        <f t="shared" si="114"/>
        <v>4.2995355894931864E-2</v>
      </c>
      <c r="Z1033" s="23">
        <f t="shared" si="115"/>
        <v>3.5142169033302029E-3</v>
      </c>
      <c r="AA1033" s="36"/>
    </row>
    <row r="1034" spans="4:27" ht="13.9" customHeight="1">
      <c r="D1034" s="8"/>
      <c r="E1034" s="9"/>
      <c r="F1034" s="19"/>
      <c r="G1034" s="19"/>
      <c r="H1034" s="19"/>
      <c r="J1034" s="45"/>
      <c r="K1034" s="45"/>
      <c r="L1034" s="45"/>
      <c r="M1034" s="43"/>
      <c r="O1034" s="12">
        <f t="shared" si="109"/>
        <v>85.083333333333329</v>
      </c>
      <c r="P1034" s="13">
        <v>1021</v>
      </c>
      <c r="Q1034" s="22">
        <v>2.7435365745557716E-2</v>
      </c>
      <c r="R1034" s="19">
        <f t="shared" si="110"/>
        <v>2.8246877203440546E-2</v>
      </c>
      <c r="S1034" s="22">
        <v>3.8530128948642606E-2</v>
      </c>
      <c r="T1034" s="19">
        <f t="shared" si="111"/>
        <v>4.2996118641544623E-2</v>
      </c>
      <c r="U1034" s="24">
        <v>3.9988174041423186E-2</v>
      </c>
      <c r="V1034" s="24">
        <f t="shared" si="112"/>
        <v>4.2995161135413351E-2</v>
      </c>
      <c r="W1034" s="23">
        <f t="shared" si="113"/>
        <v>3.5142011941431406E-3</v>
      </c>
      <c r="X1034" s="24">
        <v>3.9694396941993171E-2</v>
      </c>
      <c r="Y1034" s="24">
        <f t="shared" si="114"/>
        <v>4.2995403083348371E-2</v>
      </c>
      <c r="Z1034" s="23">
        <f t="shared" si="115"/>
        <v>3.514220725700401E-3</v>
      </c>
      <c r="AA1034" s="36"/>
    </row>
    <row r="1035" spans="4:27" ht="13.9" customHeight="1">
      <c r="D1035" s="8"/>
      <c r="E1035" s="9"/>
      <c r="F1035" s="19"/>
      <c r="G1035" s="19"/>
      <c r="H1035" s="19"/>
      <c r="J1035" s="45"/>
      <c r="K1035" s="45"/>
      <c r="L1035" s="45"/>
      <c r="M1035" s="43"/>
      <c r="O1035" s="12">
        <f t="shared" si="109"/>
        <v>85.166666666666671</v>
      </c>
      <c r="P1035" s="13">
        <v>1022</v>
      </c>
      <c r="Q1035" s="22">
        <v>2.7436159474967692E-2</v>
      </c>
      <c r="R1035" s="19">
        <f t="shared" si="110"/>
        <v>2.8247650661450852E-2</v>
      </c>
      <c r="S1035" s="22">
        <v>3.8534489441738984E-2</v>
      </c>
      <c r="T1035" s="19">
        <f t="shared" si="111"/>
        <v>4.2996160235449832E-2</v>
      </c>
      <c r="U1035" s="24">
        <v>3.9991112057612632E-2</v>
      </c>
      <c r="V1035" s="24">
        <f t="shared" si="112"/>
        <v>4.2995209487870945E-2</v>
      </c>
      <c r="W1035" s="23">
        <f t="shared" si="113"/>
        <v>3.514205110101809E-3</v>
      </c>
      <c r="X1035" s="24">
        <v>3.9697621777617709E-2</v>
      </c>
      <c r="Y1035" s="24">
        <f t="shared" si="114"/>
        <v>4.2995449792038842E-2</v>
      </c>
      <c r="Z1035" s="23">
        <f t="shared" si="115"/>
        <v>3.5142245092141255E-3</v>
      </c>
      <c r="AA1035" s="36"/>
    </row>
    <row r="1036" spans="4:27" ht="13.9" customHeight="1">
      <c r="D1036" s="8"/>
      <c r="E1036" s="9"/>
      <c r="F1036" s="19"/>
      <c r="G1036" s="19"/>
      <c r="H1036" s="19"/>
      <c r="J1036" s="45"/>
      <c r="K1036" s="45"/>
      <c r="L1036" s="45"/>
      <c r="M1036" s="43"/>
      <c r="O1036" s="12">
        <f t="shared" si="109"/>
        <v>85.25</v>
      </c>
      <c r="P1036" s="13">
        <v>1023</v>
      </c>
      <c r="Q1036" s="22">
        <v>2.7436952408693482E-2</v>
      </c>
      <c r="R1036" s="19">
        <f t="shared" si="110"/>
        <v>2.8248417689679339E-2</v>
      </c>
      <c r="S1036" s="22">
        <v>3.8538841468662044E-2</v>
      </c>
      <c r="T1036" s="19">
        <f t="shared" si="111"/>
        <v>4.2996201383558086E-2</v>
      </c>
      <c r="U1036" s="24">
        <v>3.9994044385284866E-2</v>
      </c>
      <c r="V1036" s="24">
        <f t="shared" si="112"/>
        <v>4.2995257356990058E-2</v>
      </c>
      <c r="W1036" s="23">
        <f t="shared" si="113"/>
        <v>3.5142089869475424E-3</v>
      </c>
      <c r="X1036" s="24">
        <v>3.9700840364065959E-2</v>
      </c>
      <c r="Y1036" s="24">
        <f t="shared" si="114"/>
        <v>4.2995496026513313E-2</v>
      </c>
      <c r="Z1036" s="23">
        <f t="shared" si="115"/>
        <v>3.5142282542637293E-3</v>
      </c>
      <c r="AA1036" s="36"/>
    </row>
    <row r="1037" spans="4:27" ht="13.9" customHeight="1">
      <c r="D1037" s="8"/>
      <c r="E1037" s="9"/>
      <c r="F1037" s="19"/>
      <c r="G1037" s="19"/>
      <c r="H1037" s="19"/>
      <c r="J1037" s="45"/>
      <c r="K1037" s="45"/>
      <c r="L1037" s="45"/>
      <c r="M1037" s="43"/>
      <c r="O1037" s="12">
        <f t="shared" si="109"/>
        <v>85.333333333333329</v>
      </c>
      <c r="P1037" s="13">
        <v>1024</v>
      </c>
      <c r="Q1037" s="22">
        <v>2.7437744542791576E-2</v>
      </c>
      <c r="R1037" s="19">
        <f t="shared" si="110"/>
        <v>2.8249178342514947E-2</v>
      </c>
      <c r="S1037" s="22">
        <v>3.8543185053728557E-2</v>
      </c>
      <c r="T1037" s="19">
        <f t="shared" si="111"/>
        <v>4.2996242090734604E-2</v>
      </c>
      <c r="U1037" s="24">
        <v>3.9996971040611173E-2</v>
      </c>
      <c r="V1037" s="24">
        <f t="shared" si="112"/>
        <v>4.2995304747695418E-2</v>
      </c>
      <c r="W1037" s="23">
        <f t="shared" si="113"/>
        <v>3.5142128250396087E-3</v>
      </c>
      <c r="X1037" s="24">
        <v>3.9704052719155447E-2</v>
      </c>
      <c r="Y1037" s="24">
        <f t="shared" si="114"/>
        <v>4.2995541791244429E-2</v>
      </c>
      <c r="Z1037" s="23">
        <f t="shared" si="115"/>
        <v>3.5142319612910811E-3</v>
      </c>
      <c r="AA1037" s="36"/>
    </row>
    <row r="1038" spans="4:27" ht="13.9" customHeight="1">
      <c r="D1038" s="8"/>
      <c r="E1038" s="9"/>
      <c r="F1038" s="19"/>
      <c r="G1038" s="19"/>
      <c r="H1038" s="19"/>
      <c r="J1038" s="45"/>
      <c r="K1038" s="45"/>
      <c r="L1038" s="45"/>
      <c r="M1038" s="43"/>
      <c r="O1038" s="12">
        <f t="shared" ref="O1038:O1101" si="116">P1038/12</f>
        <v>85.416666666666671</v>
      </c>
      <c r="P1038" s="13">
        <v>1025</v>
      </c>
      <c r="Q1038" s="22">
        <v>2.7438535873386627E-2</v>
      </c>
      <c r="R1038" s="19">
        <f t="shared" ref="R1038:R1101" si="117">(1+Q1039)^P1039/(1+Q1038)^P1038-1</f>
        <v>2.8249932671805533E-2</v>
      </c>
      <c r="S1038" s="22">
        <v>3.8547520221165588E-2</v>
      </c>
      <c r="T1038" s="19">
        <f t="shared" ref="T1038:T1101" si="118">(1+S1039)^P1039/(1+S1038)^P1038-1</f>
        <v>4.2996282361722926E-2</v>
      </c>
      <c r="U1038" s="24">
        <v>3.9999892039704443E-2</v>
      </c>
      <c r="V1038" s="24">
        <f t="shared" ref="V1038:V1101" si="119">(1+U1039)^P1039/(1+U1038)^P1038-1</f>
        <v>4.2995351664932624E-2</v>
      </c>
      <c r="W1038" s="23">
        <f t="shared" si="113"/>
        <v>3.5142166247730255E-3</v>
      </c>
      <c r="X1038" s="24">
        <v>3.9707258860638861E-2</v>
      </c>
      <c r="Y1038" s="24">
        <f t="shared" si="114"/>
        <v>4.2995587090496112E-2</v>
      </c>
      <c r="Z1038" s="23">
        <f t="shared" si="115"/>
        <v>3.5142356306547828E-3</v>
      </c>
      <c r="AA1038" s="36"/>
    </row>
    <row r="1039" spans="4:27" ht="13.9" customHeight="1">
      <c r="D1039" s="8"/>
      <c r="E1039" s="9"/>
      <c r="F1039" s="19"/>
      <c r="G1039" s="19"/>
      <c r="H1039" s="19"/>
      <c r="J1039" s="45"/>
      <c r="K1039" s="45"/>
      <c r="L1039" s="45"/>
      <c r="M1039" s="43"/>
      <c r="O1039" s="12">
        <f t="shared" si="116"/>
        <v>85.5</v>
      </c>
      <c r="P1039" s="13">
        <v>1026</v>
      </c>
      <c r="Q1039" s="22">
        <v>2.7439326396669017E-2</v>
      </c>
      <c r="R1039" s="19">
        <f t="shared" si="117"/>
        <v>2.825068073107917E-2</v>
      </c>
      <c r="S1039" s="22">
        <v>3.8551846995110495E-2</v>
      </c>
      <c r="T1039" s="19">
        <f t="shared" si="118"/>
        <v>4.2996322201114934E-2</v>
      </c>
      <c r="U1039" s="24">
        <v>4.0002807398619611E-2</v>
      </c>
      <c r="V1039" s="24">
        <f t="shared" si="119"/>
        <v>4.2995398113598426E-2</v>
      </c>
      <c r="W1039" s="23">
        <f t="shared" ref="W1039:W1102" si="120">(1+V1038)^(1/12)-1</f>
        <v>3.5142203865439203E-3</v>
      </c>
      <c r="X1039" s="24">
        <v>3.9710458806204052E-2</v>
      </c>
      <c r="Y1039" s="24">
        <f t="shared" ref="Y1039:Y1102" si="121">(1+X1040)^P1040/(1+X1039)^P1039-1</f>
        <v>4.2995631929779954E-2</v>
      </c>
      <c r="Z1039" s="23">
        <f t="shared" ref="Z1039:Z1102" si="122">(1+Y1038)^(1/12)-1</f>
        <v>3.5142392626967833E-3</v>
      </c>
      <c r="AA1039" s="36"/>
    </row>
    <row r="1040" spans="4:27" ht="13.9" customHeight="1">
      <c r="D1040" s="8"/>
      <c r="E1040" s="9"/>
      <c r="F1040" s="19"/>
      <c r="G1040" s="19"/>
      <c r="H1040" s="19"/>
      <c r="J1040" s="45"/>
      <c r="K1040" s="45"/>
      <c r="L1040" s="45"/>
      <c r="M1040" s="43"/>
      <c r="O1040" s="12">
        <f t="shared" si="116"/>
        <v>85.583333333333329</v>
      </c>
      <c r="P1040" s="13">
        <v>1027</v>
      </c>
      <c r="Q1040" s="22">
        <v>2.7440116108895962E-2</v>
      </c>
      <c r="R1040" s="19">
        <f t="shared" si="117"/>
        <v>2.8251422572123763E-2</v>
      </c>
      <c r="S1040" s="22">
        <v>3.8556165399610931E-2</v>
      </c>
      <c r="T1040" s="19">
        <f t="shared" si="118"/>
        <v>4.2996361613707457E-2</v>
      </c>
      <c r="U1040" s="24">
        <v>4.000571713335388E-2</v>
      </c>
      <c r="V1040" s="24">
        <f t="shared" si="119"/>
        <v>4.2995444097659652E-2</v>
      </c>
      <c r="W1040" s="23">
        <f t="shared" si="120"/>
        <v>3.514224110745312E-3</v>
      </c>
      <c r="X1040" s="24">
        <v>3.9713652573475144E-2</v>
      </c>
      <c r="Y1040" s="24">
        <f t="shared" si="121"/>
        <v>4.2995676313516196E-2</v>
      </c>
      <c r="Z1040" s="23">
        <f t="shared" si="122"/>
        <v>3.5142428578589513E-3</v>
      </c>
      <c r="AA1040" s="36"/>
    </row>
    <row r="1041" spans="4:27" ht="13.9" customHeight="1">
      <c r="D1041" s="8"/>
      <c r="E1041" s="9"/>
      <c r="F1041" s="19"/>
      <c r="G1041" s="19"/>
      <c r="H1041" s="19"/>
      <c r="J1041" s="45"/>
      <c r="K1041" s="45"/>
      <c r="L1041" s="45"/>
      <c r="M1041" s="43"/>
      <c r="O1041" s="12">
        <f t="shared" si="116"/>
        <v>85.666666666666671</v>
      </c>
      <c r="P1041" s="13">
        <v>1028</v>
      </c>
      <c r="Q1041" s="22">
        <v>2.7440905006389738E-2</v>
      </c>
      <c r="R1041" s="19">
        <f t="shared" si="117"/>
        <v>2.825215824685956E-2</v>
      </c>
      <c r="S1041" s="22">
        <v>3.8560475458626176E-2</v>
      </c>
      <c r="T1041" s="19">
        <f t="shared" si="118"/>
        <v>4.2996400603677376E-2</v>
      </c>
      <c r="U1041" s="24">
        <v>4.0008621259846278E-2</v>
      </c>
      <c r="V1041" s="24">
        <f t="shared" si="119"/>
        <v>4.2995489622495775E-2</v>
      </c>
      <c r="W1041" s="23">
        <f t="shared" si="120"/>
        <v>3.5142277976949465E-3</v>
      </c>
      <c r="X1041" s="24">
        <v>3.9716840180012314E-2</v>
      </c>
      <c r="Y1041" s="24">
        <f t="shared" si="121"/>
        <v>4.2995720246142177E-2</v>
      </c>
      <c r="Z1041" s="23">
        <f t="shared" si="122"/>
        <v>3.5142464164956699E-3</v>
      </c>
      <c r="AA1041" s="36"/>
    </row>
    <row r="1042" spans="4:27" ht="13.9" customHeight="1">
      <c r="D1042" s="8"/>
      <c r="E1042" s="9"/>
      <c r="F1042" s="19"/>
      <c r="G1042" s="19"/>
      <c r="H1042" s="19"/>
      <c r="J1042" s="45"/>
      <c r="K1042" s="45"/>
      <c r="L1042" s="45"/>
      <c r="M1042" s="43"/>
      <c r="O1042" s="12">
        <f t="shared" si="116"/>
        <v>85.75</v>
      </c>
      <c r="P1042" s="13">
        <v>1029</v>
      </c>
      <c r="Q1042" s="22">
        <v>2.7441693085537233E-2</v>
      </c>
      <c r="R1042" s="19">
        <f t="shared" si="117"/>
        <v>2.8252887806397675E-2</v>
      </c>
      <c r="S1042" s="22">
        <v>3.8564777196026689E-2</v>
      </c>
      <c r="T1042" s="19">
        <f t="shared" si="118"/>
        <v>4.2996439175846168E-2</v>
      </c>
      <c r="U1042" s="24">
        <v>4.0011519793978989E-2</v>
      </c>
      <c r="V1042" s="24">
        <f t="shared" si="119"/>
        <v>4.2995534692369608E-2</v>
      </c>
      <c r="W1042" s="23">
        <f t="shared" si="120"/>
        <v>3.5142314478242564E-3</v>
      </c>
      <c r="X1042" s="24">
        <v>3.9720021643311787E-2</v>
      </c>
      <c r="Y1042" s="24">
        <f t="shared" si="121"/>
        <v>4.2995763732109671E-2</v>
      </c>
      <c r="Z1042" s="23">
        <f t="shared" si="122"/>
        <v>3.5142499389626547E-3</v>
      </c>
      <c r="AA1042" s="36"/>
    </row>
    <row r="1043" spans="4:27" ht="13.9" customHeight="1">
      <c r="D1043" s="8"/>
      <c r="E1043" s="9"/>
      <c r="F1043" s="19"/>
      <c r="G1043" s="19"/>
      <c r="H1043" s="19"/>
      <c r="J1043" s="45"/>
      <c r="K1043" s="45"/>
      <c r="L1043" s="45"/>
      <c r="M1043" s="43"/>
      <c r="O1043" s="12">
        <f t="shared" si="116"/>
        <v>85.833333333333329</v>
      </c>
      <c r="P1043" s="13">
        <v>1030</v>
      </c>
      <c r="Q1043" s="22">
        <v>2.7442480342788844E-2</v>
      </c>
      <c r="R1043" s="19">
        <f t="shared" si="117"/>
        <v>2.8253611301800596E-2</v>
      </c>
      <c r="S1043" s="22">
        <v>3.8569070635594782E-2</v>
      </c>
      <c r="T1043" s="19">
        <f t="shared" si="118"/>
        <v>4.2996477334764194E-2</v>
      </c>
      <c r="U1043" s="24">
        <v>4.0014412751577133E-2</v>
      </c>
      <c r="V1043" s="24">
        <f t="shared" si="119"/>
        <v>4.2995579311774001E-2</v>
      </c>
      <c r="W1043" s="23">
        <f t="shared" si="120"/>
        <v>3.5142350614751905E-3</v>
      </c>
      <c r="X1043" s="24">
        <v>3.9723196980806286E-2</v>
      </c>
      <c r="Y1043" s="24">
        <f t="shared" si="121"/>
        <v>4.2995806776762624E-2</v>
      </c>
      <c r="Z1043" s="23">
        <f t="shared" si="122"/>
        <v>3.5142534256171754E-3</v>
      </c>
      <c r="AA1043" s="36"/>
    </row>
    <row r="1044" spans="4:27" ht="13.9" customHeight="1">
      <c r="D1044" s="8"/>
      <c r="E1044" s="9"/>
      <c r="F1044" s="19"/>
      <c r="G1044" s="19"/>
      <c r="H1044" s="19"/>
      <c r="J1044" s="45"/>
      <c r="K1044" s="45"/>
      <c r="L1044" s="45"/>
      <c r="M1044" s="43"/>
      <c r="O1044" s="12">
        <f t="shared" si="116"/>
        <v>85.916666666666671</v>
      </c>
      <c r="P1044" s="13">
        <v>1031</v>
      </c>
      <c r="Q1044" s="22">
        <v>2.744326677465847E-2</v>
      </c>
      <c r="R1044" s="19">
        <f t="shared" si="117"/>
        <v>2.8254328784021121E-2</v>
      </c>
      <c r="S1044" s="22">
        <v>3.8573355801025278E-2</v>
      </c>
      <c r="T1044" s="19">
        <f t="shared" si="118"/>
        <v>4.299651508489255E-2</v>
      </c>
      <c r="U1044" s="24">
        <v>4.0017300148408319E-2</v>
      </c>
      <c r="V1044" s="24">
        <f t="shared" si="119"/>
        <v>4.2995623485399648E-2</v>
      </c>
      <c r="W1044" s="23">
        <f t="shared" si="120"/>
        <v>3.514238639007905E-3</v>
      </c>
      <c r="X1044" s="24">
        <v>3.9726366209866137E-2</v>
      </c>
      <c r="Y1044" s="24">
        <f t="shared" si="121"/>
        <v>4.2995849383305806E-2</v>
      </c>
      <c r="Z1044" s="23">
        <f t="shared" si="122"/>
        <v>3.5142568768873339E-3</v>
      </c>
      <c r="AA1044" s="36"/>
    </row>
    <row r="1045" spans="4:27" ht="13.9" customHeight="1">
      <c r="D1045" s="8"/>
      <c r="E1045" s="9"/>
      <c r="F1045" s="19"/>
      <c r="G1045" s="19"/>
      <c r="H1045" s="19"/>
      <c r="J1045" s="45"/>
      <c r="K1045" s="45"/>
      <c r="L1045" s="45"/>
      <c r="M1045" s="43"/>
      <c r="O1045" s="12">
        <f t="shared" si="116"/>
        <v>86</v>
      </c>
      <c r="P1045" s="13">
        <v>1032</v>
      </c>
      <c r="Q1045" s="22">
        <v>2.7444052377722628E-2</v>
      </c>
      <c r="R1045" s="19">
        <f t="shared" si="117"/>
        <v>2.8255040302158418E-2</v>
      </c>
      <c r="S1045" s="22">
        <v>3.8577632715925514E-2</v>
      </c>
      <c r="T1045" s="19">
        <f t="shared" si="118"/>
        <v>4.2996552430238033E-2</v>
      </c>
      <c r="U1045" s="24">
        <v>4.0020182000183979E-2</v>
      </c>
      <c r="V1045" s="24">
        <f t="shared" si="119"/>
        <v>4.2995667217452072E-2</v>
      </c>
      <c r="W1045" s="23">
        <f t="shared" si="120"/>
        <v>3.5142421807983215E-3</v>
      </c>
      <c r="X1045" s="24">
        <v>3.9729529347797499E-2</v>
      </c>
      <c r="Y1045" s="24">
        <f t="shared" si="121"/>
        <v>4.2995891557413346E-2</v>
      </c>
      <c r="Z1045" s="23">
        <f t="shared" si="122"/>
        <v>3.514260293030258E-3</v>
      </c>
      <c r="AA1045" s="36"/>
    </row>
    <row r="1046" spans="4:27" ht="13.9" customHeight="1">
      <c r="D1046" s="8"/>
      <c r="E1046" s="9"/>
      <c r="F1046" s="19"/>
      <c r="G1046" s="19"/>
      <c r="H1046" s="19"/>
      <c r="J1046" s="45"/>
      <c r="K1046" s="45"/>
      <c r="L1046" s="45"/>
      <c r="M1046" s="43"/>
      <c r="O1046" s="12">
        <f t="shared" si="116"/>
        <v>86.083333333333329</v>
      </c>
      <c r="P1046" s="13">
        <v>1033</v>
      </c>
      <c r="Q1046" s="22">
        <v>2.7444837148618673E-2</v>
      </c>
      <c r="R1046" s="19">
        <f t="shared" si="117"/>
        <v>2.8255745906748286E-2</v>
      </c>
      <c r="S1046" s="22">
        <v>3.8581901403815566E-2</v>
      </c>
      <c r="T1046" s="19">
        <f t="shared" si="118"/>
        <v>4.2996589375315475E-2</v>
      </c>
      <c r="U1046" s="24">
        <v>4.0023058322558924E-2</v>
      </c>
      <c r="V1046" s="24">
        <f t="shared" si="119"/>
        <v>4.2995710512695906E-2</v>
      </c>
      <c r="W1046" s="23">
        <f t="shared" si="120"/>
        <v>3.5142456871837258E-3</v>
      </c>
      <c r="X1046" s="24">
        <v>3.9732686411845242E-2</v>
      </c>
      <c r="Y1046" s="24">
        <f t="shared" si="121"/>
        <v>4.2995933302989231E-2</v>
      </c>
      <c r="Z1046" s="23">
        <f t="shared" si="122"/>
        <v>3.514263674500917E-3</v>
      </c>
      <c r="AA1046" s="36"/>
    </row>
    <row r="1047" spans="4:27" ht="13.9" customHeight="1">
      <c r="D1047" s="8"/>
      <c r="E1047" s="9"/>
      <c r="F1047" s="19"/>
      <c r="G1047" s="19"/>
      <c r="H1047" s="19"/>
      <c r="J1047" s="45"/>
      <c r="K1047" s="45"/>
      <c r="L1047" s="45"/>
      <c r="M1047" s="43"/>
      <c r="O1047" s="12">
        <f t="shared" si="116"/>
        <v>86.166666666666671</v>
      </c>
      <c r="P1047" s="13">
        <v>1034</v>
      </c>
      <c r="Q1047" s="22">
        <v>2.744562108404569E-2</v>
      </c>
      <c r="R1047" s="19">
        <f t="shared" si="117"/>
        <v>2.8256445646414052E-2</v>
      </c>
      <c r="S1047" s="22">
        <v>3.8586161888129134E-2</v>
      </c>
      <c r="T1047" s="19">
        <f t="shared" si="118"/>
        <v>4.2996625924411225E-2</v>
      </c>
      <c r="U1047" s="24">
        <v>4.0025929131131788E-2</v>
      </c>
      <c r="V1047" s="24">
        <f t="shared" si="119"/>
        <v>4.2995753375403511E-2</v>
      </c>
      <c r="W1047" s="23">
        <f t="shared" si="120"/>
        <v>3.5142491585462565E-3</v>
      </c>
      <c r="X1047" s="24">
        <v>3.9735837419191178E-2</v>
      </c>
      <c r="Y1047" s="24">
        <f t="shared" si="121"/>
        <v>4.2995974624378208E-2</v>
      </c>
      <c r="Z1047" s="23">
        <f t="shared" si="122"/>
        <v>3.5142670216121719E-3</v>
      </c>
      <c r="AA1047" s="36"/>
    </row>
    <row r="1048" spans="4:27" ht="13.9" customHeight="1">
      <c r="D1048" s="8"/>
      <c r="E1048" s="9"/>
      <c r="F1048" s="19"/>
      <c r="G1048" s="19"/>
      <c r="H1048" s="19"/>
      <c r="J1048" s="45"/>
      <c r="K1048" s="45"/>
      <c r="L1048" s="45"/>
      <c r="M1048" s="43"/>
      <c r="O1048" s="12">
        <f t="shared" si="116"/>
        <v>86.25</v>
      </c>
      <c r="P1048" s="13">
        <v>1035</v>
      </c>
      <c r="Q1048" s="22">
        <v>2.7446404180762718E-2</v>
      </c>
      <c r="R1048" s="19">
        <f t="shared" si="117"/>
        <v>2.8257139570660783E-2</v>
      </c>
      <c r="S1048" s="22">
        <v>3.859041419221354E-2</v>
      </c>
      <c r="T1048" s="19">
        <f t="shared" si="118"/>
        <v>4.2996662082244175E-2</v>
      </c>
      <c r="U1048" s="24">
        <v>4.0028794441445248E-2</v>
      </c>
      <c r="V1048" s="24">
        <f t="shared" si="119"/>
        <v>4.2995795809472881E-2</v>
      </c>
      <c r="W1048" s="23">
        <f t="shared" si="120"/>
        <v>3.5142525952285286E-3</v>
      </c>
      <c r="X1048" s="24">
        <v>3.9738982386955168E-2</v>
      </c>
      <c r="Y1048" s="24">
        <f t="shared" si="121"/>
        <v>4.2996015525582409E-2</v>
      </c>
      <c r="Z1048" s="23">
        <f t="shared" si="122"/>
        <v>3.5142703347124105E-3</v>
      </c>
      <c r="AA1048" s="36"/>
    </row>
    <row r="1049" spans="4:27" ht="13.9" customHeight="1">
      <c r="D1049" s="8"/>
      <c r="E1049" s="9"/>
      <c r="F1049" s="19"/>
      <c r="G1049" s="19"/>
      <c r="H1049" s="19"/>
      <c r="J1049" s="45"/>
      <c r="K1049" s="45"/>
      <c r="L1049" s="45"/>
      <c r="M1049" s="43"/>
      <c r="O1049" s="12">
        <f t="shared" si="116"/>
        <v>86.333333333333329</v>
      </c>
      <c r="P1049" s="13">
        <v>1036</v>
      </c>
      <c r="Q1049" s="22">
        <v>2.7447186435588744E-2</v>
      </c>
      <c r="R1049" s="19">
        <f t="shared" si="117"/>
        <v>2.8257827726761331E-2</v>
      </c>
      <c r="S1049" s="22">
        <v>3.8594658339330623E-2</v>
      </c>
      <c r="T1049" s="19">
        <f t="shared" si="118"/>
        <v>4.299669785214344E-2</v>
      </c>
      <c r="U1049" s="24">
        <v>4.0031654268986028E-2</v>
      </c>
      <c r="V1049" s="24">
        <f t="shared" si="119"/>
        <v>4.2995837819443938E-2</v>
      </c>
      <c r="W1049" s="23">
        <f t="shared" si="120"/>
        <v>3.5142559975427368E-3</v>
      </c>
      <c r="X1049" s="24">
        <v>3.9742121332194902E-2</v>
      </c>
      <c r="Y1049" s="24">
        <f t="shared" si="121"/>
        <v>4.2996056011339157E-2</v>
      </c>
      <c r="Z1049" s="23">
        <f t="shared" si="122"/>
        <v>3.5142736141229314E-3</v>
      </c>
      <c r="AA1049" s="36"/>
    </row>
    <row r="1050" spans="4:27" ht="13.9" customHeight="1">
      <c r="D1050" s="8"/>
      <c r="E1050" s="9"/>
      <c r="F1050" s="19"/>
      <c r="G1050" s="19"/>
      <c r="H1050" s="19"/>
      <c r="J1050" s="45"/>
      <c r="K1050" s="45"/>
      <c r="L1050" s="45"/>
      <c r="M1050" s="43"/>
      <c r="O1050" s="12">
        <f t="shared" si="116"/>
        <v>86.416666666666671</v>
      </c>
      <c r="P1050" s="13">
        <v>1037</v>
      </c>
      <c r="Q1050" s="22">
        <v>2.7447967845400933E-2</v>
      </c>
      <c r="R1050" s="19">
        <f t="shared" si="117"/>
        <v>2.8258510163771122E-2</v>
      </c>
      <c r="S1050" s="22">
        <v>3.8598894352656066E-2</v>
      </c>
      <c r="T1050" s="19">
        <f t="shared" si="118"/>
        <v>4.2996733239216489E-2</v>
      </c>
      <c r="U1050" s="24">
        <v>4.0034508629185339E-2</v>
      </c>
      <c r="V1050" s="24">
        <f t="shared" si="119"/>
        <v>4.299587941025651E-2</v>
      </c>
      <c r="W1050" s="23">
        <f t="shared" si="120"/>
        <v>3.5142593658532562E-3</v>
      </c>
      <c r="X1050" s="24">
        <v>3.9745254271906783E-2</v>
      </c>
      <c r="Y1050" s="24">
        <f t="shared" si="121"/>
        <v>4.2996096085849755E-2</v>
      </c>
      <c r="Z1050" s="23">
        <f t="shared" si="122"/>
        <v>3.5142768602229868E-3</v>
      </c>
      <c r="AA1050" s="36"/>
    </row>
    <row r="1051" spans="4:27" ht="13.9" customHeight="1">
      <c r="D1051" s="8"/>
      <c r="E1051" s="9"/>
      <c r="F1051" s="19"/>
      <c r="G1051" s="19"/>
      <c r="H1051" s="19"/>
      <c r="J1051" s="45"/>
      <c r="K1051" s="45"/>
      <c r="L1051" s="45"/>
      <c r="M1051" s="43"/>
      <c r="O1051" s="12">
        <f t="shared" si="116"/>
        <v>86.5</v>
      </c>
      <c r="P1051" s="13">
        <v>1038</v>
      </c>
      <c r="Q1051" s="22">
        <v>2.7448748407135293E-2</v>
      </c>
      <c r="R1051" s="19">
        <f t="shared" si="117"/>
        <v>2.8259186928966118E-2</v>
      </c>
      <c r="S1051" s="22">
        <v>3.8603122255281175E-2</v>
      </c>
      <c r="T1051" s="19">
        <f t="shared" si="118"/>
        <v>4.299676824666987E-2</v>
      </c>
      <c r="U1051" s="24">
        <v>4.0037357537419549E-2</v>
      </c>
      <c r="V1051" s="24">
        <f t="shared" si="119"/>
        <v>4.2995920584626868E-2</v>
      </c>
      <c r="W1051" s="23">
        <f t="shared" si="120"/>
        <v>3.5142627005559923E-3</v>
      </c>
      <c r="X1051" s="24">
        <v>3.9748381223026152E-2</v>
      </c>
      <c r="Y1051" s="24">
        <f t="shared" si="121"/>
        <v>4.2996135753196718E-2</v>
      </c>
      <c r="Z1051" s="23">
        <f t="shared" si="122"/>
        <v>3.5142800733498625E-3</v>
      </c>
      <c r="AA1051" s="36"/>
    </row>
    <row r="1052" spans="4:27" ht="13.9" customHeight="1">
      <c r="D1052" s="8"/>
      <c r="E1052" s="9"/>
      <c r="F1052" s="19"/>
      <c r="G1052" s="19"/>
      <c r="H1052" s="19"/>
      <c r="J1052" s="45"/>
      <c r="K1052" s="45"/>
      <c r="L1052" s="45"/>
      <c r="M1052" s="43"/>
      <c r="O1052" s="12">
        <f t="shared" si="116"/>
        <v>86.583333333333329</v>
      </c>
      <c r="P1052" s="13">
        <v>1039</v>
      </c>
      <c r="Q1052" s="22">
        <v>2.7449528117785338E-2</v>
      </c>
      <c r="R1052" s="19">
        <f t="shared" si="117"/>
        <v>2.8259858069753729E-2</v>
      </c>
      <c r="S1052" s="22">
        <v>3.860734207021177E-2</v>
      </c>
      <c r="T1052" s="19">
        <f t="shared" si="118"/>
        <v>4.2996802878886964E-2</v>
      </c>
      <c r="U1052" s="24">
        <v>4.0040201009009069E-2</v>
      </c>
      <c r="V1052" s="24">
        <f t="shared" si="119"/>
        <v>4.2995961348179623E-2</v>
      </c>
      <c r="W1052" s="23">
        <f t="shared" si="120"/>
        <v>3.514266001868771E-3</v>
      </c>
      <c r="X1052" s="24">
        <v>3.9751502202426847E-2</v>
      </c>
      <c r="Y1052" s="24">
        <f t="shared" si="121"/>
        <v>4.2996175017097071E-2</v>
      </c>
      <c r="Z1052" s="23">
        <f t="shared" si="122"/>
        <v>3.5142832538306301E-3</v>
      </c>
      <c r="AA1052" s="36"/>
    </row>
    <row r="1053" spans="4:27" ht="13.9" customHeight="1">
      <c r="D1053" s="8"/>
      <c r="E1053" s="9"/>
      <c r="F1053" s="19"/>
      <c r="G1053" s="19"/>
      <c r="H1053" s="19"/>
      <c r="J1053" s="45"/>
      <c r="K1053" s="45"/>
      <c r="L1053" s="45"/>
      <c r="M1053" s="43"/>
      <c r="O1053" s="12">
        <f t="shared" si="116"/>
        <v>86.666666666666671</v>
      </c>
      <c r="P1053" s="13">
        <v>1040</v>
      </c>
      <c r="Q1053" s="22">
        <v>2.745030697440165E-2</v>
      </c>
      <c r="R1053" s="19">
        <f t="shared" si="117"/>
        <v>2.8260523632134049E-2</v>
      </c>
      <c r="S1053" s="22">
        <v>3.8611553820369293E-2</v>
      </c>
      <c r="T1053" s="19">
        <f t="shared" si="118"/>
        <v>4.2996837140165223E-2</v>
      </c>
      <c r="U1053" s="24">
        <v>4.0043039059220353E-2</v>
      </c>
      <c r="V1053" s="24">
        <f t="shared" si="119"/>
        <v>4.2996001704002529E-2</v>
      </c>
      <c r="W1053" s="23">
        <f t="shared" si="120"/>
        <v>3.5142692702425649E-3</v>
      </c>
      <c r="X1053" s="24">
        <v>3.975461722692164E-2</v>
      </c>
      <c r="Y1053" s="24">
        <f t="shared" si="121"/>
        <v>4.2996213882435352E-2</v>
      </c>
      <c r="Z1053" s="23">
        <f t="shared" si="122"/>
        <v>3.5142864019632736E-3</v>
      </c>
      <c r="AA1053" s="36"/>
    </row>
    <row r="1054" spans="4:27" ht="13.9" customHeight="1">
      <c r="D1054" s="8"/>
      <c r="E1054" s="9"/>
      <c r="F1054" s="19"/>
      <c r="G1054" s="19"/>
      <c r="H1054" s="19"/>
      <c r="J1054" s="45"/>
      <c r="K1054" s="45"/>
      <c r="L1054" s="45"/>
      <c r="M1054" s="43"/>
      <c r="O1054" s="12">
        <f t="shared" si="116"/>
        <v>86.75</v>
      </c>
      <c r="P1054" s="13">
        <v>1041</v>
      </c>
      <c r="Q1054" s="22">
        <v>2.7451084974090323E-2</v>
      </c>
      <c r="R1054" s="19">
        <f t="shared" si="117"/>
        <v>2.8261183663709444E-2</v>
      </c>
      <c r="S1054" s="22">
        <v>3.8615757528591921E-2</v>
      </c>
      <c r="T1054" s="19">
        <f t="shared" si="118"/>
        <v>4.2996871034252759E-2</v>
      </c>
      <c r="U1054" s="24">
        <v>4.0045871703264568E-2</v>
      </c>
      <c r="V1054" s="24">
        <f t="shared" si="119"/>
        <v>4.2996041656848449E-2</v>
      </c>
      <c r="W1054" s="23">
        <f t="shared" si="120"/>
        <v>3.5142725059249535E-3</v>
      </c>
      <c r="X1054" s="24">
        <v>3.9757726313263353E-2</v>
      </c>
      <c r="Y1054" s="24">
        <f t="shared" si="121"/>
        <v>4.2996252352656583E-2</v>
      </c>
      <c r="Z1054" s="23">
        <f t="shared" si="122"/>
        <v>3.5142895181397016E-3</v>
      </c>
      <c r="AA1054" s="36"/>
    </row>
    <row r="1055" spans="4:27" ht="13.9" customHeight="1">
      <c r="D1055" s="8"/>
      <c r="E1055" s="9"/>
      <c r="F1055" s="19"/>
      <c r="G1055" s="19"/>
      <c r="H1055" s="19"/>
      <c r="J1055" s="45"/>
      <c r="K1055" s="45"/>
      <c r="L1055" s="45"/>
      <c r="M1055" s="43"/>
      <c r="O1055" s="12">
        <f t="shared" si="116"/>
        <v>86.833333333333329</v>
      </c>
      <c r="P1055" s="13">
        <v>1042</v>
      </c>
      <c r="Q1055" s="22">
        <v>2.745186211401407E-2</v>
      </c>
      <c r="R1055" s="19">
        <f t="shared" si="117"/>
        <v>2.8261838209724832E-2</v>
      </c>
      <c r="S1055" s="22">
        <v>3.8619953217633229E-2</v>
      </c>
      <c r="T1055" s="19">
        <f t="shared" si="118"/>
        <v>4.2996904565325345E-2</v>
      </c>
      <c r="U1055" s="24">
        <v>4.0048698956298923E-2</v>
      </c>
      <c r="V1055" s="24">
        <f t="shared" si="119"/>
        <v>4.29960812103789E-2</v>
      </c>
      <c r="W1055" s="23">
        <f t="shared" si="120"/>
        <v>3.5142757092969656E-3</v>
      </c>
      <c r="X1055" s="24">
        <v>3.9760829478144188E-2</v>
      </c>
      <c r="Y1055" s="24">
        <f t="shared" si="121"/>
        <v>4.2996290432134598E-2</v>
      </c>
      <c r="Z1055" s="23">
        <f t="shared" si="122"/>
        <v>3.5142926026361376E-3</v>
      </c>
      <c r="AA1055" s="36"/>
    </row>
    <row r="1056" spans="4:27" ht="13.9" customHeight="1">
      <c r="D1056" s="8"/>
      <c r="E1056" s="9"/>
      <c r="F1056" s="19"/>
      <c r="G1056" s="19"/>
      <c r="H1056" s="19"/>
      <c r="J1056" s="45"/>
      <c r="K1056" s="45"/>
      <c r="L1056" s="45"/>
      <c r="M1056" s="43"/>
      <c r="O1056" s="12">
        <f t="shared" si="116"/>
        <v>86.916666666666671</v>
      </c>
      <c r="P1056" s="13">
        <v>1043</v>
      </c>
      <c r="Q1056" s="22">
        <v>2.7452638391390005E-2</v>
      </c>
      <c r="R1056" s="19">
        <f t="shared" si="117"/>
        <v>2.8262487315863005E-2</v>
      </c>
      <c r="S1056" s="22">
        <v>3.8624140910164195E-2</v>
      </c>
      <c r="T1056" s="19">
        <f t="shared" si="118"/>
        <v>4.2996937736617946E-2</v>
      </c>
      <c r="U1056" s="24">
        <v>4.0051520833426002E-2</v>
      </c>
      <c r="V1056" s="24">
        <f t="shared" si="119"/>
        <v>4.2996120368589352E-2</v>
      </c>
      <c r="W1056" s="23">
        <f t="shared" si="120"/>
        <v>3.5142788806521441E-3</v>
      </c>
      <c r="X1056" s="24">
        <v>3.9763926738196176E-2</v>
      </c>
      <c r="Y1056" s="24">
        <f t="shared" si="121"/>
        <v>4.2996328124369709E-2</v>
      </c>
      <c r="Z1056" s="23">
        <f t="shared" si="122"/>
        <v>3.5142956558029681E-3</v>
      </c>
      <c r="AA1056" s="36"/>
    </row>
    <row r="1057" spans="4:27" ht="13.9" customHeight="1">
      <c r="D1057" s="8"/>
      <c r="E1057" s="9"/>
      <c r="F1057" s="19"/>
      <c r="G1057" s="19"/>
      <c r="H1057" s="19"/>
      <c r="J1057" s="45"/>
      <c r="K1057" s="45"/>
      <c r="L1057" s="45"/>
      <c r="M1057" s="43"/>
      <c r="O1057" s="12">
        <f t="shared" si="116"/>
        <v>87</v>
      </c>
      <c r="P1057" s="13">
        <v>1044</v>
      </c>
      <c r="Q1057" s="22">
        <v>2.7453413803489424E-2</v>
      </c>
      <c r="R1057" s="19">
        <f t="shared" si="117"/>
        <v>2.826313102802791E-2</v>
      </c>
      <c r="S1057" s="22">
        <v>3.8628320628772084E-2</v>
      </c>
      <c r="T1057" s="19">
        <f t="shared" si="118"/>
        <v>4.2996970552809488E-2</v>
      </c>
      <c r="U1057" s="24">
        <v>4.0054337349694658E-2</v>
      </c>
      <c r="V1057" s="24">
        <f t="shared" si="119"/>
        <v>4.2996159135303191E-2</v>
      </c>
      <c r="W1057" s="23">
        <f t="shared" si="120"/>
        <v>3.5142820203108993E-3</v>
      </c>
      <c r="X1057" s="24">
        <v>3.9767018109991392E-2</v>
      </c>
      <c r="Y1057" s="24">
        <f t="shared" si="121"/>
        <v>4.2996365433766837E-2</v>
      </c>
      <c r="Z1057" s="23">
        <f t="shared" si="122"/>
        <v>3.5142986779213015E-3</v>
      </c>
      <c r="AA1057" s="36"/>
    </row>
    <row r="1058" spans="4:27" ht="13.9" customHeight="1">
      <c r="D1058" s="8"/>
      <c r="E1058" s="9"/>
      <c r="F1058" s="19"/>
      <c r="G1058" s="19"/>
      <c r="H1058" s="19"/>
      <c r="J1058" s="45"/>
      <c r="K1058" s="45"/>
      <c r="L1058" s="45"/>
      <c r="M1058" s="43"/>
      <c r="O1058" s="12">
        <f t="shared" si="116"/>
        <v>87.083333333333329</v>
      </c>
      <c r="P1058" s="13">
        <v>1045</v>
      </c>
      <c r="Q1058" s="22">
        <v>2.7454188347638242E-2</v>
      </c>
      <c r="R1058" s="19">
        <f t="shared" si="117"/>
        <v>2.8263769390192151E-2</v>
      </c>
      <c r="S1058" s="22">
        <v>3.8632492395962226E-2</v>
      </c>
      <c r="T1058" s="19">
        <f t="shared" si="118"/>
        <v>4.2997003017080315E-2</v>
      </c>
      <c r="U1058" s="24">
        <v>4.0057148520099783E-2</v>
      </c>
      <c r="V1058" s="24">
        <f t="shared" si="119"/>
        <v>4.2996197515087875E-2</v>
      </c>
      <c r="W1058" s="23">
        <f t="shared" si="120"/>
        <v>3.5142851285800969E-3</v>
      </c>
      <c r="X1058" s="24">
        <v>3.9770103610042629E-2</v>
      </c>
      <c r="Y1058" s="24">
        <f t="shared" si="121"/>
        <v>4.2996402364301911E-2</v>
      </c>
      <c r="Z1058" s="23">
        <f t="shared" si="122"/>
        <v>3.5143016693437445E-3</v>
      </c>
      <c r="AA1058" s="36"/>
    </row>
    <row r="1059" spans="4:27" ht="13.9" customHeight="1">
      <c r="D1059" s="8"/>
      <c r="E1059" s="9"/>
      <c r="F1059" s="19"/>
      <c r="G1059" s="19"/>
      <c r="H1059" s="19"/>
      <c r="J1059" s="45"/>
      <c r="K1059" s="45"/>
      <c r="L1059" s="45"/>
      <c r="M1059" s="43"/>
      <c r="O1059" s="12">
        <f t="shared" si="116"/>
        <v>87.166666666666671</v>
      </c>
      <c r="P1059" s="13">
        <v>1046</v>
      </c>
      <c r="Q1059" s="22">
        <v>2.7454962021214335E-2</v>
      </c>
      <c r="R1059" s="19">
        <f t="shared" si="117"/>
        <v>2.8264402447607528E-2</v>
      </c>
      <c r="S1059" s="22">
        <v>3.8636656234157352E-2</v>
      </c>
      <c r="T1059" s="19">
        <f t="shared" si="118"/>
        <v>4.2997035133511385E-2</v>
      </c>
      <c r="U1059" s="24">
        <v>4.0059954359583205E-2</v>
      </c>
      <c r="V1059" s="24">
        <f t="shared" si="119"/>
        <v>4.299623551116416E-2</v>
      </c>
      <c r="W1059" s="23">
        <f t="shared" si="120"/>
        <v>3.5142882058254443E-3</v>
      </c>
      <c r="X1059" s="24">
        <v>3.977318325480339E-2</v>
      </c>
      <c r="Y1059" s="24">
        <f t="shared" si="121"/>
        <v>4.2996438919186142E-2</v>
      </c>
      <c r="Z1059" s="23">
        <f t="shared" si="122"/>
        <v>3.5143046303895975E-3</v>
      </c>
      <c r="AA1059" s="36"/>
    </row>
    <row r="1060" spans="4:27" ht="13.9" customHeight="1">
      <c r="D1060" s="8"/>
      <c r="E1060" s="9"/>
      <c r="F1060" s="19"/>
      <c r="G1060" s="19"/>
      <c r="H1060" s="19"/>
      <c r="J1060" s="45"/>
      <c r="K1060" s="45"/>
      <c r="L1060" s="45"/>
      <c r="M1060" s="43"/>
      <c r="O1060" s="12">
        <f t="shared" si="116"/>
        <v>87.25</v>
      </c>
      <c r="P1060" s="13">
        <v>1047</v>
      </c>
      <c r="Q1060" s="22">
        <v>2.7455734821648869E-2</v>
      </c>
      <c r="R1060" s="19">
        <f t="shared" si="117"/>
        <v>2.826503024398086E-2</v>
      </c>
      <c r="S1060" s="22">
        <v>3.8640812165698257E-2</v>
      </c>
      <c r="T1060" s="19">
        <f t="shared" si="118"/>
        <v>4.2997066905744008E-2</v>
      </c>
      <c r="U1060" s="24">
        <v>4.0062754883033236E-2</v>
      </c>
      <c r="V1060" s="24">
        <f t="shared" si="119"/>
        <v>4.2996273127371865E-2</v>
      </c>
      <c r="W1060" s="23">
        <f t="shared" si="120"/>
        <v>3.5142912523054015E-3</v>
      </c>
      <c r="X1060" s="24">
        <v>3.9776257060667675E-2</v>
      </c>
      <c r="Y1060" s="24">
        <f t="shared" si="121"/>
        <v>4.2996475102946352E-2</v>
      </c>
      <c r="Z1060" s="23">
        <f t="shared" si="122"/>
        <v>3.514307561315988E-3</v>
      </c>
      <c r="AA1060" s="36"/>
    </row>
    <row r="1061" spans="4:27" ht="13.9" customHeight="1">
      <c r="D1061" s="8"/>
      <c r="E1061" s="9"/>
      <c r="F1061" s="19"/>
      <c r="G1061" s="19"/>
      <c r="H1061" s="19"/>
      <c r="J1061" s="45"/>
      <c r="K1061" s="45"/>
      <c r="L1061" s="45"/>
      <c r="M1061" s="43"/>
      <c r="O1061" s="12">
        <f t="shared" si="116"/>
        <v>87.333333333333329</v>
      </c>
      <c r="P1061" s="13">
        <v>1048</v>
      </c>
      <c r="Q1061" s="22">
        <v>2.7456506746424525E-2</v>
      </c>
      <c r="R1061" s="19">
        <f t="shared" si="117"/>
        <v>2.8265652823423526E-2</v>
      </c>
      <c r="S1061" s="22">
        <v>3.8644960212844248E-2</v>
      </c>
      <c r="T1061" s="19">
        <f t="shared" si="118"/>
        <v>4.2997098337755446E-2</v>
      </c>
      <c r="U1061" s="24">
        <v>4.0065550105284453E-2</v>
      </c>
      <c r="V1061" s="24">
        <f t="shared" si="119"/>
        <v>4.2996310367816371E-2</v>
      </c>
      <c r="W1061" s="23">
        <f t="shared" si="120"/>
        <v>3.5142942683279443E-3</v>
      </c>
      <c r="X1061" s="24">
        <v>3.9779325043971081E-2</v>
      </c>
      <c r="Y1061" s="24">
        <f t="shared" si="121"/>
        <v>4.2996510918854369E-2</v>
      </c>
      <c r="Z1061" s="23">
        <f t="shared" si="122"/>
        <v>3.5143104624859589E-3</v>
      </c>
      <c r="AA1061" s="36"/>
    </row>
    <row r="1062" spans="4:27" ht="13.9" customHeight="1">
      <c r="D1062" s="8"/>
      <c r="E1062" s="9"/>
      <c r="F1062" s="19"/>
      <c r="G1062" s="19"/>
      <c r="H1062" s="19"/>
      <c r="J1062" s="45"/>
      <c r="K1062" s="45"/>
      <c r="L1062" s="45"/>
      <c r="M1062" s="43"/>
      <c r="O1062" s="12">
        <f t="shared" si="116"/>
        <v>87.416666666666671</v>
      </c>
      <c r="P1062" s="13">
        <v>1049</v>
      </c>
      <c r="Q1062" s="22">
        <v>2.7457277793075496E-2</v>
      </c>
      <c r="R1062" s="19">
        <f t="shared" si="117"/>
        <v>2.8266270229059698E-2</v>
      </c>
      <c r="S1062" s="22">
        <v>3.8649100397773806E-2</v>
      </c>
      <c r="T1062" s="19">
        <f t="shared" si="118"/>
        <v>4.2997129432496228E-2</v>
      </c>
      <c r="U1062" s="24">
        <v>4.0068340041119477E-2</v>
      </c>
      <c r="V1062" s="24">
        <f t="shared" si="119"/>
        <v>4.2996347236313293E-2</v>
      </c>
      <c r="W1062" s="23">
        <f t="shared" si="120"/>
        <v>3.5142972542221429E-3</v>
      </c>
      <c r="X1062" s="24">
        <v>3.9782387220990145E-2</v>
      </c>
      <c r="Y1062" s="24">
        <f t="shared" si="121"/>
        <v>4.2996546370840161E-2</v>
      </c>
      <c r="Z1062" s="23">
        <f t="shared" si="122"/>
        <v>3.514313334161967E-3</v>
      </c>
      <c r="AA1062" s="36"/>
    </row>
    <row r="1063" spans="4:27" ht="13.9" customHeight="1">
      <c r="D1063" s="8"/>
      <c r="E1063" s="9"/>
      <c r="F1063" s="19"/>
      <c r="G1063" s="19"/>
      <c r="H1063" s="19"/>
      <c r="J1063" s="45"/>
      <c r="K1063" s="45"/>
      <c r="L1063" s="45"/>
      <c r="M1063" s="43"/>
      <c r="O1063" s="12">
        <f t="shared" si="116"/>
        <v>87.5</v>
      </c>
      <c r="P1063" s="13">
        <v>1050</v>
      </c>
      <c r="Q1063" s="22">
        <v>2.7458047959186604E-2</v>
      </c>
      <c r="R1063" s="19">
        <f t="shared" si="117"/>
        <v>2.8266882504288215E-2</v>
      </c>
      <c r="S1063" s="22">
        <v>3.8653232742583921E-2</v>
      </c>
      <c r="T1063" s="19">
        <f t="shared" si="118"/>
        <v>4.2997160194237827E-2</v>
      </c>
      <c r="U1063" s="24">
        <v>4.0071124705267858E-2</v>
      </c>
      <c r="V1063" s="24">
        <f t="shared" si="119"/>
        <v>4.2996383736229049E-2</v>
      </c>
      <c r="W1063" s="23">
        <f t="shared" si="120"/>
        <v>3.5143002102937526E-3</v>
      </c>
      <c r="X1063" s="24">
        <v>3.9785443607943449E-2</v>
      </c>
      <c r="Y1063" s="24">
        <f t="shared" si="121"/>
        <v>4.2996581462768857E-2</v>
      </c>
      <c r="Z1063" s="23">
        <f t="shared" si="122"/>
        <v>3.5143161766590936E-3</v>
      </c>
      <c r="AA1063" s="36"/>
    </row>
    <row r="1064" spans="4:27" ht="13.9" customHeight="1">
      <c r="D1064" s="8"/>
      <c r="E1064" s="9"/>
      <c r="F1064" s="19"/>
      <c r="G1064" s="19"/>
      <c r="H1064" s="19"/>
      <c r="J1064" s="45"/>
      <c r="K1064" s="45"/>
      <c r="L1064" s="45"/>
      <c r="M1064" s="43"/>
      <c r="O1064" s="12">
        <f t="shared" si="116"/>
        <v>87.583333333333329</v>
      </c>
      <c r="P1064" s="13">
        <v>1051</v>
      </c>
      <c r="Q1064" s="22">
        <v>2.7458817242392852E-2</v>
      </c>
      <c r="R1064" s="19">
        <f t="shared" si="117"/>
        <v>2.8267489691311543E-2</v>
      </c>
      <c r="S1064" s="22">
        <v>3.8657357269291204E-2</v>
      </c>
      <c r="T1064" s="19">
        <f t="shared" si="118"/>
        <v>4.2997190626482995E-2</v>
      </c>
      <c r="U1064" s="24">
        <v>4.0073904112406522E-2</v>
      </c>
      <c r="V1064" s="24">
        <f t="shared" si="119"/>
        <v>4.2996419871258684E-2</v>
      </c>
      <c r="W1064" s="23">
        <f t="shared" si="120"/>
        <v>3.5143031368130018E-3</v>
      </c>
      <c r="X1064" s="24">
        <v>3.9788494220991399E-2</v>
      </c>
      <c r="Y1064" s="24">
        <f t="shared" si="121"/>
        <v>4.2996616197841231E-2</v>
      </c>
      <c r="Z1064" s="23">
        <f t="shared" si="122"/>
        <v>3.5143189902870908E-3</v>
      </c>
      <c r="AA1064" s="36"/>
    </row>
    <row r="1065" spans="4:27" ht="13.9" customHeight="1">
      <c r="D1065" s="8"/>
      <c r="E1065" s="9"/>
      <c r="F1065" s="19"/>
      <c r="G1065" s="19"/>
      <c r="H1065" s="19"/>
      <c r="J1065" s="45"/>
      <c r="K1065" s="45"/>
      <c r="L1065" s="45"/>
      <c r="M1065" s="43"/>
      <c r="O1065" s="12">
        <f t="shared" si="116"/>
        <v>87.666666666666671</v>
      </c>
      <c r="P1065" s="13">
        <v>1052</v>
      </c>
      <c r="Q1065" s="22">
        <v>2.7459585640378537E-2</v>
      </c>
      <c r="R1065" s="19">
        <f t="shared" si="117"/>
        <v>2.8268091833043574E-2</v>
      </c>
      <c r="S1065" s="22">
        <v>3.8661473999832774E-2</v>
      </c>
      <c r="T1065" s="19">
        <f t="shared" si="118"/>
        <v>4.2997220732461594E-2</v>
      </c>
      <c r="U1065" s="24">
        <v>4.0076678277160216E-2</v>
      </c>
      <c r="V1065" s="24">
        <f t="shared" si="119"/>
        <v>4.2996455645396336E-2</v>
      </c>
      <c r="W1065" s="23">
        <f t="shared" si="120"/>
        <v>3.5143060340760979E-3</v>
      </c>
      <c r="X1065" s="24">
        <v>3.9791539076236004E-2</v>
      </c>
      <c r="Y1065" s="24">
        <f t="shared" si="121"/>
        <v>4.2996650580207296E-2</v>
      </c>
      <c r="Z1065" s="23">
        <f t="shared" si="122"/>
        <v>3.5143217753028644E-3</v>
      </c>
      <c r="AA1065" s="36"/>
    </row>
    <row r="1066" spans="4:27" ht="13.9" customHeight="1">
      <c r="D1066" s="8"/>
      <c r="E1066" s="9"/>
      <c r="F1066" s="19"/>
      <c r="G1066" s="19"/>
      <c r="H1066" s="19"/>
      <c r="J1066" s="45"/>
      <c r="K1066" s="45"/>
      <c r="L1066" s="45"/>
      <c r="M1066" s="43"/>
      <c r="O1066" s="12">
        <f t="shared" si="116"/>
        <v>87.75</v>
      </c>
      <c r="P1066" s="13">
        <v>1053</v>
      </c>
      <c r="Q1066" s="22">
        <v>2.7460353150877248E-2</v>
      </c>
      <c r="R1066" s="19">
        <f t="shared" si="117"/>
        <v>2.826868897082635E-2</v>
      </c>
      <c r="S1066" s="22">
        <v>3.8665582956065148E-2</v>
      </c>
      <c r="T1066" s="19">
        <f t="shared" si="118"/>
        <v>4.2997250515639518E-2</v>
      </c>
      <c r="U1066" s="24">
        <v>4.0079447214102171E-2</v>
      </c>
      <c r="V1066" s="24">
        <f t="shared" si="119"/>
        <v>4.2996491062034625E-2</v>
      </c>
      <c r="W1066" s="23">
        <f t="shared" si="120"/>
        <v>3.5143089024032292E-3</v>
      </c>
      <c r="X1066" s="24">
        <v>3.9794578189722429E-2</v>
      </c>
      <c r="Y1066" s="24">
        <f t="shared" si="121"/>
        <v>4.2996684613284097E-2</v>
      </c>
      <c r="Z1066" s="23">
        <f t="shared" si="122"/>
        <v>3.514324532038815E-3</v>
      </c>
      <c r="AA1066" s="36"/>
    </row>
    <row r="1067" spans="4:27" ht="13.9" customHeight="1">
      <c r="D1067" s="8"/>
      <c r="E1067" s="9"/>
      <c r="F1067" s="19"/>
      <c r="G1067" s="19"/>
      <c r="H1067" s="19"/>
      <c r="J1067" s="45"/>
      <c r="K1067" s="45"/>
      <c r="L1067" s="45"/>
      <c r="M1067" s="43"/>
      <c r="O1067" s="12">
        <f t="shared" si="116"/>
        <v>87.833333333333329</v>
      </c>
      <c r="P1067" s="13">
        <v>1054</v>
      </c>
      <c r="Q1067" s="22">
        <v>2.7461119771670761E-2</v>
      </c>
      <c r="R1067" s="19">
        <f t="shared" si="117"/>
        <v>2.8269281146944492E-2</v>
      </c>
      <c r="S1067" s="22">
        <v>3.8669684159765572E-2</v>
      </c>
      <c r="T1067" s="19">
        <f t="shared" si="118"/>
        <v>4.2997279979851255E-2</v>
      </c>
      <c r="U1067" s="24">
        <v>4.0082210937752993E-2</v>
      </c>
      <c r="V1067" s="24">
        <f t="shared" si="119"/>
        <v>4.2996526124871037E-2</v>
      </c>
      <c r="W1067" s="23">
        <f t="shared" si="120"/>
        <v>3.5143117420664005E-3</v>
      </c>
      <c r="X1067" s="24">
        <v>3.9797611577437886E-2</v>
      </c>
      <c r="Y1067" s="24">
        <f t="shared" si="121"/>
        <v>4.2996718300063907E-2</v>
      </c>
      <c r="Z1067" s="23">
        <f t="shared" si="122"/>
        <v>3.5143272607691678E-3</v>
      </c>
      <c r="AA1067" s="36"/>
    </row>
    <row r="1068" spans="4:27" ht="13.9" customHeight="1">
      <c r="D1068" s="8"/>
      <c r="E1068" s="9"/>
      <c r="F1068" s="19"/>
      <c r="G1068" s="19"/>
      <c r="H1068" s="19"/>
      <c r="J1068" s="45"/>
      <c r="K1068" s="45"/>
      <c r="L1068" s="45"/>
      <c r="M1068" s="43"/>
      <c r="O1068" s="12">
        <f t="shared" si="116"/>
        <v>87.916666666666671</v>
      </c>
      <c r="P1068" s="13">
        <v>1055</v>
      </c>
      <c r="Q1068" s="22">
        <v>2.7461885500588812E-2</v>
      </c>
      <c r="R1068" s="19">
        <f t="shared" si="117"/>
        <v>2.8269868401905818E-2</v>
      </c>
      <c r="S1068" s="22">
        <v>3.8673777632632245E-2</v>
      </c>
      <c r="T1068" s="19">
        <f t="shared" si="118"/>
        <v>4.2997309128123717E-2</v>
      </c>
      <c r="U1068" s="24">
        <v>4.0084969462582443E-2</v>
      </c>
      <c r="V1068" s="24">
        <f t="shared" si="119"/>
        <v>4.2996560837236908E-2</v>
      </c>
      <c r="W1068" s="23">
        <f t="shared" si="120"/>
        <v>3.5143145533620412E-3</v>
      </c>
      <c r="X1068" s="24">
        <v>3.9800639255312298E-2</v>
      </c>
      <c r="Y1068" s="24">
        <f t="shared" si="121"/>
        <v>4.2996751645117515E-2</v>
      </c>
      <c r="Z1068" s="23">
        <f t="shared" si="122"/>
        <v>3.514329961733953E-3</v>
      </c>
      <c r="AA1068" s="36"/>
    </row>
    <row r="1069" spans="4:27" ht="13.9" customHeight="1">
      <c r="D1069" s="8"/>
      <c r="E1069" s="9"/>
      <c r="F1069" s="19"/>
      <c r="G1069" s="19"/>
      <c r="H1069" s="19"/>
      <c r="J1069" s="45"/>
      <c r="K1069" s="45"/>
      <c r="L1069" s="45"/>
      <c r="M1069" s="43"/>
      <c r="O1069" s="12">
        <f t="shared" si="116"/>
        <v>88</v>
      </c>
      <c r="P1069" s="13">
        <v>1056</v>
      </c>
      <c r="Q1069" s="22">
        <v>2.7462650335507988E-2</v>
      </c>
      <c r="R1069" s="19">
        <f t="shared" si="117"/>
        <v>2.8270450777949208E-2</v>
      </c>
      <c r="S1069" s="22">
        <v>3.867786339628454E-2</v>
      </c>
      <c r="T1069" s="19">
        <f t="shared" si="118"/>
        <v>4.2997337964360005E-2</v>
      </c>
      <c r="U1069" s="24">
        <v>4.0087722803008319E-2</v>
      </c>
      <c r="V1069" s="24">
        <f t="shared" si="119"/>
        <v>4.2996595202540844E-2</v>
      </c>
      <c r="W1069" s="23">
        <f t="shared" si="120"/>
        <v>3.5143173365572711E-3</v>
      </c>
      <c r="X1069" s="24">
        <v>3.980366123921919E-2</v>
      </c>
      <c r="Y1069" s="24">
        <f t="shared" si="121"/>
        <v>4.2996784651174957E-2</v>
      </c>
      <c r="Z1069" s="23">
        <f t="shared" si="122"/>
        <v>3.514332635299322E-3</v>
      </c>
      <c r="AA1069" s="36"/>
    </row>
    <row r="1070" spans="4:27" ht="13.9" customHeight="1">
      <c r="D1070" s="8"/>
      <c r="E1070" s="9"/>
      <c r="F1070" s="19"/>
      <c r="G1070" s="19"/>
      <c r="H1070" s="19"/>
      <c r="J1070" s="45"/>
      <c r="K1070" s="45"/>
      <c r="L1070" s="45"/>
      <c r="M1070" s="43"/>
      <c r="O1070" s="12">
        <f t="shared" si="116"/>
        <v>88.083333333333329</v>
      </c>
      <c r="P1070" s="13">
        <v>1057</v>
      </c>
      <c r="Q1070" s="22">
        <v>2.7463414274352838E-2</v>
      </c>
      <c r="R1070" s="19">
        <f t="shared" si="117"/>
        <v>2.8271028314067026E-2</v>
      </c>
      <c r="S1070" s="22">
        <v>3.868194147226367E-2</v>
      </c>
      <c r="T1070" s="19">
        <f t="shared" si="118"/>
        <v>4.299736649114827E-2</v>
      </c>
      <c r="U1070" s="24">
        <v>4.0090470973397352E-2</v>
      </c>
      <c r="V1070" s="24">
        <f t="shared" si="119"/>
        <v>4.2996629224707039E-2</v>
      </c>
      <c r="W1070" s="23">
        <f t="shared" si="120"/>
        <v>3.5143200919254269E-3</v>
      </c>
      <c r="X1070" s="24">
        <v>3.9806677544975244E-2</v>
      </c>
      <c r="Y1070" s="24">
        <f t="shared" si="121"/>
        <v>4.2996817321645953E-2</v>
      </c>
      <c r="Z1070" s="23">
        <f t="shared" si="122"/>
        <v>3.5143352816842111E-3</v>
      </c>
      <c r="AA1070" s="36"/>
    </row>
    <row r="1071" spans="4:27" ht="13.9" customHeight="1">
      <c r="D1071" s="8"/>
      <c r="E1071" s="9"/>
      <c r="F1071" s="19"/>
      <c r="G1071" s="19"/>
      <c r="H1071" s="19"/>
      <c r="J1071" s="45"/>
      <c r="K1071" s="45"/>
      <c r="L1071" s="45"/>
      <c r="M1071" s="43"/>
      <c r="O1071" s="12">
        <f t="shared" si="116"/>
        <v>88.166666666666671</v>
      </c>
      <c r="P1071" s="13">
        <v>1058</v>
      </c>
      <c r="Q1071" s="22">
        <v>2.746417731509232E-2</v>
      </c>
      <c r="R1071" s="19">
        <f t="shared" si="117"/>
        <v>2.8271601051766959E-2</v>
      </c>
      <c r="S1071" s="22">
        <v>3.8686011882032023E-2</v>
      </c>
      <c r="T1071" s="19">
        <f t="shared" si="118"/>
        <v>4.2997394712646742E-2</v>
      </c>
      <c r="U1071" s="24">
        <v>4.0093213988065646E-2</v>
      </c>
      <c r="V1071" s="24">
        <f t="shared" si="119"/>
        <v>4.2996662906929162E-2</v>
      </c>
      <c r="W1071" s="23">
        <f t="shared" si="120"/>
        <v>3.514322819780924E-3</v>
      </c>
      <c r="X1071" s="24">
        <v>3.9809688188340075E-2</v>
      </c>
      <c r="Y1071" s="24">
        <f t="shared" si="121"/>
        <v>4.2996849660374759E-2</v>
      </c>
      <c r="Z1071" s="23">
        <f t="shared" si="122"/>
        <v>3.5143379011621789E-3</v>
      </c>
      <c r="AA1071" s="36"/>
    </row>
    <row r="1072" spans="4:27" ht="13.9" customHeight="1">
      <c r="D1072" s="8"/>
      <c r="E1072" s="9"/>
      <c r="F1072" s="19"/>
      <c r="G1072" s="19"/>
      <c r="H1072" s="19"/>
      <c r="J1072" s="45"/>
      <c r="K1072" s="45"/>
      <c r="L1072" s="45"/>
      <c r="M1072" s="43"/>
      <c r="O1072" s="12">
        <f t="shared" si="116"/>
        <v>88.25</v>
      </c>
      <c r="P1072" s="13">
        <v>1059</v>
      </c>
      <c r="Q1072" s="22">
        <v>2.7464939455742687E-2</v>
      </c>
      <c r="R1072" s="19">
        <f t="shared" si="117"/>
        <v>2.8272169030030492E-2</v>
      </c>
      <c r="S1072" s="22">
        <v>3.8690074646974937E-2</v>
      </c>
      <c r="T1072" s="19">
        <f t="shared" si="118"/>
        <v>4.2997422631746218E-2</v>
      </c>
      <c r="U1072" s="24">
        <v>4.0095951861278234E-2</v>
      </c>
      <c r="V1072" s="24">
        <f t="shared" si="119"/>
        <v>4.2996696252209698E-2</v>
      </c>
      <c r="W1072" s="23">
        <f t="shared" si="120"/>
        <v>3.5143255203804458E-3</v>
      </c>
      <c r="X1072" s="24">
        <v>3.9812693185018011E-2</v>
      </c>
      <c r="Y1072" s="24">
        <f t="shared" si="121"/>
        <v>4.2996881670431586E-2</v>
      </c>
      <c r="Z1072" s="23">
        <f t="shared" si="122"/>
        <v>3.5143404940414236E-3</v>
      </c>
      <c r="AA1072" s="36"/>
    </row>
    <row r="1073" spans="4:27" ht="13.9" customHeight="1">
      <c r="D1073" s="8"/>
      <c r="E1073" s="9"/>
      <c r="F1073" s="19"/>
      <c r="G1073" s="19"/>
      <c r="H1073" s="19"/>
      <c r="J1073" s="45"/>
      <c r="K1073" s="45"/>
      <c r="L1073" s="45"/>
      <c r="M1073" s="43"/>
      <c r="O1073" s="12">
        <f t="shared" si="116"/>
        <v>88.333333333333329</v>
      </c>
      <c r="P1073" s="13">
        <v>1060</v>
      </c>
      <c r="Q1073" s="22">
        <v>2.7465700694363937E-2</v>
      </c>
      <c r="R1073" s="19">
        <f t="shared" si="117"/>
        <v>2.8272732289374769E-2</v>
      </c>
      <c r="S1073" s="22">
        <v>3.8694129788400033E-2</v>
      </c>
      <c r="T1073" s="19">
        <f t="shared" si="118"/>
        <v>4.29974502509467E-2</v>
      </c>
      <c r="U1073" s="24">
        <v>4.0098684607249302E-2</v>
      </c>
      <c r="V1073" s="24">
        <f t="shared" si="119"/>
        <v>4.2996729264544564E-2</v>
      </c>
      <c r="W1073" s="23">
        <f t="shared" si="120"/>
        <v>3.5143281939640225E-3</v>
      </c>
      <c r="X1073" s="24">
        <v>3.9815692550656534E-2</v>
      </c>
      <c r="Y1073" s="24">
        <f t="shared" si="121"/>
        <v>4.2996913355114685E-2</v>
      </c>
      <c r="Z1073" s="23">
        <f t="shared" si="122"/>
        <v>3.5143430605681925E-3</v>
      </c>
      <c r="AA1073" s="36"/>
    </row>
    <row r="1074" spans="4:27" ht="13.9" customHeight="1">
      <c r="D1074" s="8"/>
      <c r="E1074" s="9"/>
      <c r="F1074" s="19"/>
      <c r="G1074" s="19"/>
      <c r="H1074" s="19"/>
      <c r="J1074" s="45"/>
      <c r="K1074" s="45"/>
      <c r="L1074" s="45"/>
      <c r="M1074" s="43"/>
      <c r="O1074" s="12">
        <f t="shared" si="116"/>
        <v>88.416666666666671</v>
      </c>
      <c r="P1074" s="13">
        <v>1061</v>
      </c>
      <c r="Q1074" s="22">
        <v>2.7466461029061806E-2</v>
      </c>
      <c r="R1074" s="19">
        <f t="shared" si="117"/>
        <v>2.8273290868597867E-2</v>
      </c>
      <c r="S1074" s="22">
        <v>3.869817732753722E-2</v>
      </c>
      <c r="T1074" s="19">
        <f t="shared" si="118"/>
        <v>4.2997477574970411E-2</v>
      </c>
      <c r="U1074" s="24">
        <v>4.0101412240143297E-2</v>
      </c>
      <c r="V1074" s="24">
        <f t="shared" si="119"/>
        <v>4.2996761947213358E-2</v>
      </c>
      <c r="W1074" s="23">
        <f t="shared" si="120"/>
        <v>3.5143308408525087E-3</v>
      </c>
      <c r="X1074" s="24">
        <v>3.9818686300847839E-2</v>
      </c>
      <c r="Y1074" s="24">
        <f t="shared" si="121"/>
        <v>4.2996944718032504E-2</v>
      </c>
      <c r="Z1074" s="23">
        <f t="shared" si="122"/>
        <v>3.5143456010067187E-3</v>
      </c>
      <c r="AA1074" s="36"/>
    </row>
    <row r="1075" spans="4:27" ht="13.9" customHeight="1">
      <c r="D1075" s="8"/>
      <c r="E1075" s="9"/>
      <c r="F1075" s="19"/>
      <c r="G1075" s="19"/>
      <c r="H1075" s="19"/>
      <c r="J1075" s="45"/>
      <c r="K1075" s="45"/>
      <c r="L1075" s="45"/>
      <c r="M1075" s="43"/>
      <c r="O1075" s="12">
        <f t="shared" si="116"/>
        <v>88.5</v>
      </c>
      <c r="P1075" s="13">
        <v>1062</v>
      </c>
      <c r="Q1075" s="22">
        <v>2.7467220457985775E-2</v>
      </c>
      <c r="R1075" s="19">
        <f t="shared" si="117"/>
        <v>2.8273844806191439E-2</v>
      </c>
      <c r="S1075" s="22">
        <v>3.8702217285540685E-2</v>
      </c>
      <c r="T1075" s="19">
        <f t="shared" si="118"/>
        <v>4.2997504605741588E-2</v>
      </c>
      <c r="U1075" s="24">
        <v>4.0104134774074485E-2</v>
      </c>
      <c r="V1075" s="24">
        <f t="shared" si="119"/>
        <v>4.2996794303002073E-2</v>
      </c>
      <c r="W1075" s="23">
        <f t="shared" si="120"/>
        <v>3.514333461308583E-3</v>
      </c>
      <c r="X1075" s="24">
        <v>3.9821674451128608E-2</v>
      </c>
      <c r="Y1075" s="24">
        <f t="shared" si="121"/>
        <v>4.2996975762108258E-2</v>
      </c>
      <c r="Z1075" s="23">
        <f t="shared" si="122"/>
        <v>3.5143481156463263E-3</v>
      </c>
      <c r="AA1075" s="36"/>
    </row>
    <row r="1076" spans="4:27" ht="13.9" customHeight="1">
      <c r="D1076" s="8"/>
      <c r="E1076" s="9"/>
      <c r="F1076" s="19"/>
      <c r="G1076" s="19"/>
      <c r="H1076" s="19"/>
      <c r="J1076" s="45"/>
      <c r="K1076" s="45"/>
      <c r="L1076" s="45"/>
      <c r="M1076" s="43"/>
      <c r="O1076" s="12">
        <f t="shared" si="116"/>
        <v>88.583333333333329</v>
      </c>
      <c r="P1076" s="13">
        <v>1063</v>
      </c>
      <c r="Q1076" s="22">
        <v>2.7467978979327956E-2</v>
      </c>
      <c r="R1076" s="19">
        <f t="shared" si="117"/>
        <v>2.8274394141685422E-2</v>
      </c>
      <c r="S1076" s="22">
        <v>3.8706249683487348E-2</v>
      </c>
      <c r="T1076" s="19">
        <f t="shared" si="118"/>
        <v>4.2997531346826934E-2</v>
      </c>
      <c r="U1076" s="24">
        <v>4.0106852223106504E-2</v>
      </c>
      <c r="V1076" s="24">
        <f t="shared" si="119"/>
        <v>4.2996826335253369E-2</v>
      </c>
      <c r="W1076" s="23">
        <f t="shared" si="120"/>
        <v>3.5143360555558445E-3</v>
      </c>
      <c r="X1076" s="24">
        <v>3.9824657016979792E-2</v>
      </c>
      <c r="Y1076" s="24">
        <f t="shared" si="121"/>
        <v>4.2997006491129808E-2</v>
      </c>
      <c r="Z1076" s="23">
        <f t="shared" si="122"/>
        <v>3.5143506047217166E-3</v>
      </c>
      <c r="AA1076" s="36"/>
    </row>
    <row r="1077" spans="4:27" ht="13.9" customHeight="1">
      <c r="D1077" s="8"/>
      <c r="E1077" s="9"/>
      <c r="F1077" s="19"/>
      <c r="G1077" s="19"/>
      <c r="H1077" s="19"/>
      <c r="J1077" s="45"/>
      <c r="K1077" s="45"/>
      <c r="L1077" s="45"/>
      <c r="M1077" s="43"/>
      <c r="O1077" s="12">
        <f t="shared" si="116"/>
        <v>88.666666666666671</v>
      </c>
      <c r="P1077" s="13">
        <v>1064</v>
      </c>
      <c r="Q1077" s="22">
        <v>2.7468736591325094E-2</v>
      </c>
      <c r="R1077" s="19">
        <f t="shared" si="117"/>
        <v>2.827493891285715E-2</v>
      </c>
      <c r="S1077" s="22">
        <v>3.8710274542378187E-2</v>
      </c>
      <c r="T1077" s="19">
        <f t="shared" si="118"/>
        <v>4.2997557801684128E-2</v>
      </c>
      <c r="U1077" s="24">
        <v>4.01095646012537E-2</v>
      </c>
      <c r="V1077" s="24">
        <f t="shared" si="119"/>
        <v>4.2996858047939623E-2</v>
      </c>
      <c r="W1077" s="23">
        <f t="shared" si="120"/>
        <v>3.5143386238620788E-3</v>
      </c>
      <c r="X1077" s="24">
        <v>3.9827634013827939E-2</v>
      </c>
      <c r="Y1077" s="24">
        <f t="shared" si="121"/>
        <v>4.2997036907170605E-2</v>
      </c>
      <c r="Z1077" s="23">
        <f t="shared" si="122"/>
        <v>3.5143530685362023E-3</v>
      </c>
      <c r="AA1077" s="36"/>
    </row>
    <row r="1078" spans="4:27" ht="13.9" customHeight="1">
      <c r="D1078" s="8"/>
      <c r="E1078" s="9"/>
      <c r="F1078" s="19"/>
      <c r="G1078" s="19"/>
      <c r="H1078" s="19"/>
      <c r="J1078" s="45"/>
      <c r="K1078" s="45"/>
      <c r="L1078" s="45"/>
      <c r="M1078" s="43"/>
      <c r="O1078" s="12">
        <f t="shared" si="116"/>
        <v>88.75</v>
      </c>
      <c r="P1078" s="13">
        <v>1065</v>
      </c>
      <c r="Q1078" s="22">
        <v>2.7469493292255232E-2</v>
      </c>
      <c r="R1078" s="19">
        <f t="shared" si="117"/>
        <v>2.8275479157474637E-2</v>
      </c>
      <c r="S1078" s="22">
        <v>3.8714291883138685E-2</v>
      </c>
      <c r="T1078" s="19">
        <f t="shared" si="118"/>
        <v>4.2997583972747888E-2</v>
      </c>
      <c r="U1078" s="24">
        <v>4.0112271922481124E-2</v>
      </c>
      <c r="V1078" s="24">
        <f t="shared" si="119"/>
        <v>4.2996889443596809E-2</v>
      </c>
      <c r="W1078" s="23">
        <f t="shared" si="120"/>
        <v>3.5143411665459201E-3</v>
      </c>
      <c r="X1078" s="24">
        <v>3.9830605457043866E-2</v>
      </c>
      <c r="Y1078" s="24">
        <f t="shared" si="121"/>
        <v>4.2997067015028145E-2</v>
      </c>
      <c r="Z1078" s="23">
        <f t="shared" si="122"/>
        <v>3.5143555072563171E-3</v>
      </c>
      <c r="AA1078" s="36"/>
    </row>
    <row r="1079" spans="4:27" ht="13.9" customHeight="1">
      <c r="D1079" s="8"/>
      <c r="E1079" s="9"/>
      <c r="F1079" s="19"/>
      <c r="G1079" s="19"/>
      <c r="H1079" s="19"/>
      <c r="J1079" s="45"/>
      <c r="K1079" s="45"/>
      <c r="L1079" s="45"/>
      <c r="M1079" s="43"/>
      <c r="O1079" s="12">
        <f t="shared" si="116"/>
        <v>88.833333333333329</v>
      </c>
      <c r="P1079" s="13">
        <v>1066</v>
      </c>
      <c r="Q1079" s="22">
        <v>2.7470249080439046E-2</v>
      </c>
      <c r="R1079" s="19">
        <f t="shared" si="117"/>
        <v>2.8276014913634739E-2</v>
      </c>
      <c r="S1079" s="22">
        <v>3.8718301726618387E-2</v>
      </c>
      <c r="T1079" s="19">
        <f t="shared" si="118"/>
        <v>4.2997609863298925E-2</v>
      </c>
      <c r="U1079" s="24">
        <v>4.0114974200704312E-2</v>
      </c>
      <c r="V1079" s="24">
        <f t="shared" si="119"/>
        <v>4.2996920525173898E-2</v>
      </c>
      <c r="W1079" s="23">
        <f t="shared" si="120"/>
        <v>3.5143436838107611E-3</v>
      </c>
      <c r="X1079" s="24">
        <v>3.9833571361944875E-2</v>
      </c>
      <c r="Y1079" s="24">
        <f t="shared" si="121"/>
        <v>4.2997096816365765E-2</v>
      </c>
      <c r="Z1079" s="23">
        <f t="shared" si="122"/>
        <v>3.514357921266642E-3</v>
      </c>
      <c r="AA1079" s="36"/>
    </row>
    <row r="1080" spans="4:27" ht="13.9" customHeight="1">
      <c r="D1080" s="8"/>
      <c r="E1080" s="9"/>
      <c r="F1080" s="19"/>
      <c r="G1080" s="19"/>
      <c r="H1080" s="19"/>
      <c r="J1080" s="45"/>
      <c r="K1080" s="45"/>
      <c r="L1080" s="45"/>
      <c r="M1080" s="43"/>
      <c r="O1080" s="12">
        <f t="shared" si="116"/>
        <v>88.916666666666671</v>
      </c>
      <c r="P1080" s="13">
        <v>1067</v>
      </c>
      <c r="Q1080" s="22">
        <v>2.7471003954238515E-2</v>
      </c>
      <c r="R1080" s="19">
        <f t="shared" si="117"/>
        <v>2.8276546218294341E-2</v>
      </c>
      <c r="S1080" s="22">
        <v>3.8722304093591786E-2</v>
      </c>
      <c r="T1080" s="19">
        <f t="shared" si="118"/>
        <v>4.299763547667812E-2</v>
      </c>
      <c r="U1080" s="24">
        <v>4.0117671449789061E-2</v>
      </c>
      <c r="V1080" s="24">
        <f t="shared" si="119"/>
        <v>4.2996951296606412E-2</v>
      </c>
      <c r="W1080" s="23">
        <f t="shared" si="120"/>
        <v>3.5143461758930794E-3</v>
      </c>
      <c r="X1080" s="24">
        <v>3.9836531743792758E-2</v>
      </c>
      <c r="Y1080" s="24">
        <f t="shared" si="121"/>
        <v>4.2997126314809453E-2</v>
      </c>
      <c r="Z1080" s="23">
        <f t="shared" si="122"/>
        <v>3.514360310700404E-3</v>
      </c>
      <c r="AA1080" s="36"/>
    </row>
    <row r="1081" spans="4:27" ht="13.9" customHeight="1">
      <c r="D1081" s="8"/>
      <c r="E1081" s="9"/>
      <c r="F1081" s="19"/>
      <c r="G1081" s="19"/>
      <c r="H1081" s="19"/>
      <c r="J1081" s="45"/>
      <c r="K1081" s="45"/>
      <c r="L1081" s="45"/>
      <c r="M1081" s="43"/>
      <c r="O1081" s="12">
        <f t="shared" si="116"/>
        <v>89</v>
      </c>
      <c r="P1081" s="13">
        <v>1068</v>
      </c>
      <c r="Q1081" s="22">
        <v>2.7471757912056916E-2</v>
      </c>
      <c r="R1081" s="19">
        <f t="shared" si="117"/>
        <v>2.8277073108990747E-2</v>
      </c>
      <c r="S1081" s="22">
        <v>3.8726299004758769E-2</v>
      </c>
      <c r="T1081" s="19">
        <f t="shared" si="118"/>
        <v>4.2997660815521366E-2</v>
      </c>
      <c r="U1081" s="24">
        <v>4.0120363683553206E-2</v>
      </c>
      <c r="V1081" s="24">
        <f t="shared" si="119"/>
        <v>4.2996981760423214E-2</v>
      </c>
      <c r="W1081" s="23">
        <f t="shared" si="120"/>
        <v>3.5143486431081783E-3</v>
      </c>
      <c r="X1081" s="24">
        <v>3.9839486617795572E-2</v>
      </c>
      <c r="Y1081" s="24">
        <f t="shared" si="121"/>
        <v>4.2997155514018504E-2</v>
      </c>
      <c r="Z1081" s="23">
        <f t="shared" si="122"/>
        <v>3.5143626758484814E-3</v>
      </c>
      <c r="AA1081" s="36"/>
    </row>
    <row r="1082" spans="4:27" ht="13.9" customHeight="1">
      <c r="D1082" s="8"/>
      <c r="E1082" s="9"/>
      <c r="F1082" s="19"/>
      <c r="G1082" s="19"/>
      <c r="H1082" s="19"/>
      <c r="J1082" s="45"/>
      <c r="K1082" s="45"/>
      <c r="L1082" s="45"/>
      <c r="M1082" s="43"/>
      <c r="O1082" s="12">
        <f t="shared" si="116"/>
        <v>89.083333333333329</v>
      </c>
      <c r="P1082" s="13">
        <v>1069</v>
      </c>
      <c r="Q1082" s="22">
        <v>2.7472510952337936E-2</v>
      </c>
      <c r="R1082" s="19">
        <f t="shared" si="117"/>
        <v>2.8277595621601925E-2</v>
      </c>
      <c r="S1082" s="22">
        <v>3.8730286480744613E-2</v>
      </c>
      <c r="T1082" s="19">
        <f t="shared" si="118"/>
        <v>4.2997685882648629E-2</v>
      </c>
      <c r="U1082" s="24">
        <v>4.012305091576529E-2</v>
      </c>
      <c r="V1082" s="24">
        <f t="shared" si="119"/>
        <v>4.2997011919637673E-2</v>
      </c>
      <c r="W1082" s="23">
        <f t="shared" si="120"/>
        <v>3.5143510856590066E-3</v>
      </c>
      <c r="X1082" s="24">
        <v>3.9842435999107861E-2</v>
      </c>
      <c r="Y1082" s="24">
        <f t="shared" si="121"/>
        <v>4.2997184416509571E-2</v>
      </c>
      <c r="Z1082" s="23">
        <f t="shared" si="122"/>
        <v>3.5143650170044172E-3</v>
      </c>
      <c r="AA1082" s="36"/>
    </row>
    <row r="1083" spans="4:27" ht="13.9" customHeight="1">
      <c r="D1083" s="8"/>
      <c r="E1083" s="9"/>
      <c r="F1083" s="19"/>
      <c r="G1083" s="19"/>
      <c r="H1083" s="19"/>
      <c r="J1083" s="45"/>
      <c r="K1083" s="45"/>
      <c r="L1083" s="45"/>
      <c r="M1083" s="43"/>
      <c r="O1083" s="12">
        <f t="shared" si="116"/>
        <v>89.166666666666671</v>
      </c>
      <c r="P1083" s="13">
        <v>1070</v>
      </c>
      <c r="Q1083" s="22">
        <v>2.7473263073565013E-2</v>
      </c>
      <c r="R1083" s="19">
        <f t="shared" si="117"/>
        <v>2.8278113793467563E-2</v>
      </c>
      <c r="S1083" s="22">
        <v>3.8734266542099993E-2</v>
      </c>
      <c r="T1083" s="19">
        <f t="shared" si="118"/>
        <v>4.2997710681106582E-2</v>
      </c>
      <c r="U1083" s="24">
        <v>4.0125733160145227E-2</v>
      </c>
      <c r="V1083" s="24">
        <f t="shared" si="119"/>
        <v>4.2997041777669054E-2</v>
      </c>
      <c r="W1083" s="23">
        <f t="shared" si="120"/>
        <v>3.5143535037871487E-3</v>
      </c>
      <c r="X1083" s="24">
        <v>3.9845379902829992E-2</v>
      </c>
      <c r="Y1083" s="24">
        <f t="shared" si="121"/>
        <v>4.2997213024812853E-2</v>
      </c>
      <c r="Z1083" s="23">
        <f t="shared" si="122"/>
        <v>3.5143673343696058E-3</v>
      </c>
      <c r="AA1083" s="36"/>
    </row>
    <row r="1084" spans="4:27" ht="13.9" customHeight="1">
      <c r="D1084" s="8"/>
      <c r="E1084" s="9"/>
      <c r="F1084" s="19"/>
      <c r="G1084" s="19"/>
      <c r="H1084" s="19"/>
      <c r="J1084" s="45"/>
      <c r="K1084" s="45"/>
      <c r="L1084" s="45"/>
      <c r="M1084" s="43"/>
      <c r="O1084" s="12">
        <f t="shared" si="116"/>
        <v>89.25</v>
      </c>
      <c r="P1084" s="13">
        <v>1071</v>
      </c>
      <c r="Q1084" s="22">
        <v>2.7474014274262215E-2</v>
      </c>
      <c r="R1084" s="19">
        <f t="shared" si="117"/>
        <v>2.8278627660074829E-2</v>
      </c>
      <c r="S1084" s="22">
        <v>3.8738239209302083E-2</v>
      </c>
      <c r="T1084" s="19">
        <f t="shared" si="118"/>
        <v>4.2997735214111321E-2</v>
      </c>
      <c r="U1084" s="24">
        <v>4.0128410430364969E-2</v>
      </c>
      <c r="V1084" s="24">
        <f t="shared" si="119"/>
        <v>4.2997071337488091E-2</v>
      </c>
      <c r="W1084" s="23">
        <f t="shared" si="120"/>
        <v>3.5143558977668299E-3</v>
      </c>
      <c r="X1084" s="24">
        <v>3.9848318344008593E-2</v>
      </c>
      <c r="Y1084" s="24">
        <f t="shared" si="121"/>
        <v>4.2997241342724868E-2</v>
      </c>
      <c r="Z1084" s="23">
        <f t="shared" si="122"/>
        <v>3.5143696281472181E-3</v>
      </c>
      <c r="AA1084" s="36"/>
    </row>
    <row r="1085" spans="4:27" ht="13.9" customHeight="1">
      <c r="D1085" s="8"/>
      <c r="E1085" s="9"/>
      <c r="F1085" s="19"/>
      <c r="G1085" s="19"/>
      <c r="H1085" s="19"/>
      <c r="J1085" s="45"/>
      <c r="K1085" s="45"/>
      <c r="L1085" s="45"/>
      <c r="M1085" s="43"/>
      <c r="O1085" s="12">
        <f t="shared" si="116"/>
        <v>89.333333333333329</v>
      </c>
      <c r="P1085" s="13">
        <v>1072</v>
      </c>
      <c r="Q1085" s="22">
        <v>2.7474764552991804E-2</v>
      </c>
      <c r="R1085" s="19">
        <f t="shared" si="117"/>
        <v>2.8279137257787079E-2</v>
      </c>
      <c r="S1085" s="22">
        <v>3.8742204502754563E-2</v>
      </c>
      <c r="T1085" s="19">
        <f t="shared" si="118"/>
        <v>4.2997759483924813E-2</v>
      </c>
      <c r="U1085" s="24">
        <v>4.0131082740048285E-2</v>
      </c>
      <c r="V1085" s="24">
        <f t="shared" si="119"/>
        <v>4.2997100601463556E-2</v>
      </c>
      <c r="W1085" s="23">
        <f t="shared" si="120"/>
        <v>3.5143582678358598E-3</v>
      </c>
      <c r="X1085" s="24">
        <v>3.985125133763745E-2</v>
      </c>
      <c r="Y1085" s="24">
        <f t="shared" si="121"/>
        <v>4.2997269372838653E-2</v>
      </c>
      <c r="Z1085" s="23">
        <f t="shared" si="122"/>
        <v>3.5143718986414552E-3</v>
      </c>
      <c r="AA1085" s="36"/>
    </row>
    <row r="1086" spans="4:27" ht="13.9" customHeight="1">
      <c r="D1086" s="8"/>
      <c r="E1086" s="9"/>
      <c r="F1086" s="19"/>
      <c r="G1086" s="19"/>
      <c r="H1086" s="19"/>
      <c r="J1086" s="45"/>
      <c r="K1086" s="45"/>
      <c r="L1086" s="45"/>
      <c r="M1086" s="43"/>
      <c r="O1086" s="12">
        <f t="shared" si="116"/>
        <v>89.416666666666671</v>
      </c>
      <c r="P1086" s="13">
        <v>1073</v>
      </c>
      <c r="Q1086" s="22">
        <v>2.7475513908355342E-2</v>
      </c>
      <c r="R1086" s="19">
        <f t="shared" si="117"/>
        <v>2.8279642621564571E-2</v>
      </c>
      <c r="S1086" s="22">
        <v>3.8746162442787391E-2</v>
      </c>
      <c r="T1086" s="19">
        <f t="shared" si="118"/>
        <v>4.2997783493835984E-2</v>
      </c>
      <c r="U1086" s="24">
        <v>4.0133750102770316E-2</v>
      </c>
      <c r="V1086" s="24">
        <f t="shared" si="119"/>
        <v>4.299712957324342E-2</v>
      </c>
      <c r="W1086" s="23">
        <f t="shared" si="120"/>
        <v>3.5143606141847528E-3</v>
      </c>
      <c r="X1086" s="24">
        <v>3.9854178898657056E-2</v>
      </c>
      <c r="Y1086" s="24">
        <f t="shared" si="121"/>
        <v>4.2997297118291034E-2</v>
      </c>
      <c r="Z1086" s="23">
        <f t="shared" si="122"/>
        <v>3.5143741460605948E-3</v>
      </c>
      <c r="AA1086" s="36"/>
    </row>
    <row r="1087" spans="4:27" ht="13.9" customHeight="1">
      <c r="D1087" s="8"/>
      <c r="E1087" s="9"/>
      <c r="F1087" s="19"/>
      <c r="G1087" s="19"/>
      <c r="H1087" s="19"/>
      <c r="J1087" s="45"/>
      <c r="K1087" s="45"/>
      <c r="L1087" s="45"/>
      <c r="M1087" s="43"/>
      <c r="O1087" s="12">
        <f t="shared" si="116"/>
        <v>89.5</v>
      </c>
      <c r="P1087" s="13">
        <v>1074</v>
      </c>
      <c r="Q1087" s="22">
        <v>2.7476262338992363E-2</v>
      </c>
      <c r="R1087" s="19">
        <f t="shared" si="117"/>
        <v>2.8280143786583167E-2</v>
      </c>
      <c r="S1087" s="22">
        <v>3.8750113049658141E-2</v>
      </c>
      <c r="T1087" s="19">
        <f t="shared" si="118"/>
        <v>4.2997807246405673E-2</v>
      </c>
      <c r="U1087" s="24">
        <v>4.0136412532059351E-2</v>
      </c>
      <c r="V1087" s="24">
        <f t="shared" si="119"/>
        <v>4.2997158255871248E-2</v>
      </c>
      <c r="W1087" s="23">
        <f t="shared" si="120"/>
        <v>3.5143629371057195E-3</v>
      </c>
      <c r="X1087" s="24">
        <v>3.9857101041955278E-2</v>
      </c>
      <c r="Y1087" s="24">
        <f t="shared" si="121"/>
        <v>4.2997324581665941E-2</v>
      </c>
      <c r="Z1087" s="23">
        <f t="shared" si="122"/>
        <v>3.5143763706557696E-3</v>
      </c>
      <c r="AA1087" s="36"/>
    </row>
    <row r="1088" spans="4:27" ht="13.9" customHeight="1">
      <c r="D1088" s="8"/>
      <c r="E1088" s="9"/>
      <c r="F1088" s="19"/>
      <c r="G1088" s="19"/>
      <c r="H1088" s="19"/>
      <c r="J1088" s="45"/>
      <c r="K1088" s="45"/>
      <c r="L1088" s="45"/>
      <c r="M1088" s="43"/>
      <c r="O1088" s="12">
        <f t="shared" si="116"/>
        <v>89.583333333333329</v>
      </c>
      <c r="P1088" s="13">
        <v>1075</v>
      </c>
      <c r="Q1088" s="22">
        <v>2.7477009843579925E-2</v>
      </c>
      <c r="R1088" s="19">
        <f t="shared" si="117"/>
        <v>2.8280640788076905E-2</v>
      </c>
      <c r="S1088" s="22">
        <v>3.8754056343551335E-2</v>
      </c>
      <c r="T1088" s="19">
        <f t="shared" si="118"/>
        <v>4.2997830744167631E-2</v>
      </c>
      <c r="U1088" s="24">
        <v>4.0139070041395941E-2</v>
      </c>
      <c r="V1088" s="24">
        <f t="shared" si="119"/>
        <v>4.2997186651197783E-2</v>
      </c>
      <c r="W1088" s="23">
        <f t="shared" si="120"/>
        <v>3.5143652368425649E-3</v>
      </c>
      <c r="X1088" s="24">
        <v>3.9860017782366919E-2</v>
      </c>
      <c r="Y1088" s="24">
        <f t="shared" si="121"/>
        <v>4.2997351766083103E-2</v>
      </c>
      <c r="Z1088" s="23">
        <f t="shared" si="122"/>
        <v>3.514378572634147E-3</v>
      </c>
      <c r="AA1088" s="36"/>
    </row>
    <row r="1089" spans="4:27" ht="13.9" customHeight="1">
      <c r="D1089" s="8"/>
      <c r="E1089" s="9"/>
      <c r="F1089" s="19"/>
      <c r="G1089" s="19"/>
      <c r="H1089" s="19"/>
      <c r="J1089" s="45"/>
      <c r="K1089" s="45"/>
      <c r="L1089" s="45"/>
      <c r="M1089" s="43"/>
      <c r="O1089" s="12">
        <f t="shared" si="116"/>
        <v>89.666666666666671</v>
      </c>
      <c r="P1089" s="13">
        <v>1076</v>
      </c>
      <c r="Q1089" s="22">
        <v>2.7477756420832833E-2</v>
      </c>
      <c r="R1089" s="19">
        <f t="shared" si="117"/>
        <v>2.8281133660810642E-2</v>
      </c>
      <c r="S1089" s="22">
        <v>3.8757992344579106E-2</v>
      </c>
      <c r="T1089" s="19">
        <f t="shared" si="118"/>
        <v>4.2997853990576873E-2</v>
      </c>
      <c r="U1089" s="24">
        <v>4.0141722644212452E-2</v>
      </c>
      <c r="V1089" s="24">
        <f t="shared" si="119"/>
        <v>4.2997214763301095E-2</v>
      </c>
      <c r="W1089" s="23">
        <f t="shared" si="120"/>
        <v>3.5143675135440589E-3</v>
      </c>
      <c r="X1089" s="24">
        <v>3.986292913467504E-2</v>
      </c>
      <c r="Y1089" s="24">
        <f t="shared" si="121"/>
        <v>4.2997378674169973E-2</v>
      </c>
      <c r="Z1089" s="23">
        <f t="shared" si="122"/>
        <v>3.5143807522461934E-3</v>
      </c>
      <c r="AA1089" s="36"/>
    </row>
    <row r="1090" spans="4:27" ht="13.9" customHeight="1">
      <c r="D1090" s="8"/>
      <c r="E1090" s="9"/>
      <c r="F1090" s="19"/>
      <c r="G1090" s="19"/>
      <c r="H1090" s="19"/>
      <c r="J1090" s="45"/>
      <c r="K1090" s="45"/>
      <c r="L1090" s="45"/>
      <c r="M1090" s="43"/>
      <c r="O1090" s="12">
        <f t="shared" si="116"/>
        <v>89.75</v>
      </c>
      <c r="P1090" s="13">
        <v>1077</v>
      </c>
      <c r="Q1090" s="22">
        <v>2.7478502069502975E-2</v>
      </c>
      <c r="R1090" s="19">
        <f t="shared" si="117"/>
        <v>2.8281622438685927E-2</v>
      </c>
      <c r="S1090" s="22">
        <v>3.8761921072782091E-2</v>
      </c>
      <c r="T1090" s="19">
        <f t="shared" si="118"/>
        <v>4.2997876987496353E-2</v>
      </c>
      <c r="U1090" s="24">
        <v>4.0144370353895287E-2</v>
      </c>
      <c r="V1090" s="24">
        <f t="shared" si="119"/>
        <v>4.2997242594446039E-2</v>
      </c>
      <c r="W1090" s="23">
        <f t="shared" si="120"/>
        <v>3.5143697675370511E-3</v>
      </c>
      <c r="X1090" s="24">
        <v>3.986583511360986E-2</v>
      </c>
      <c r="Y1090" s="24">
        <f t="shared" si="121"/>
        <v>4.2997405308911274E-2</v>
      </c>
      <c r="Z1090" s="23">
        <f t="shared" si="122"/>
        <v>3.514382909702185E-3</v>
      </c>
      <c r="AA1090" s="36"/>
    </row>
    <row r="1091" spans="4:27" ht="13.9" customHeight="1">
      <c r="D1091" s="8"/>
      <c r="E1091" s="9"/>
      <c r="F1091" s="19"/>
      <c r="G1091" s="19"/>
      <c r="H1091" s="19"/>
      <c r="J1091" s="45"/>
      <c r="K1091" s="45"/>
      <c r="L1091" s="45"/>
      <c r="M1091" s="43"/>
      <c r="O1091" s="12">
        <f t="shared" si="116"/>
        <v>89.833333333333329</v>
      </c>
      <c r="P1091" s="13">
        <v>1078</v>
      </c>
      <c r="Q1091" s="22">
        <v>2.7479246788377987E-2</v>
      </c>
      <c r="R1091" s="19">
        <f t="shared" si="117"/>
        <v>2.8282107156367475E-2</v>
      </c>
      <c r="S1091" s="22">
        <v>3.8765842548128537E-2</v>
      </c>
      <c r="T1091" s="19">
        <f t="shared" si="118"/>
        <v>4.2997899738171697E-2</v>
      </c>
      <c r="U1091" s="24">
        <v>4.0147013183783109E-2</v>
      </c>
      <c r="V1091" s="24">
        <f t="shared" si="119"/>
        <v>4.2997270147367095E-2</v>
      </c>
      <c r="W1091" s="23">
        <f t="shared" si="120"/>
        <v>3.5143719990029521E-3</v>
      </c>
      <c r="X1091" s="24">
        <v>3.9868735733849858E-2</v>
      </c>
      <c r="Y1091" s="24">
        <f t="shared" si="121"/>
        <v>4.299743167288872E-2</v>
      </c>
      <c r="Z1091" s="23">
        <f t="shared" si="122"/>
        <v>3.514385045241708E-3</v>
      </c>
      <c r="AA1091" s="36"/>
    </row>
    <row r="1092" spans="4:27" ht="13.9" customHeight="1">
      <c r="D1092" s="8"/>
      <c r="E1092" s="9"/>
      <c r="F1092" s="19"/>
      <c r="G1092" s="19"/>
      <c r="H1092" s="19"/>
      <c r="J1092" s="45"/>
      <c r="K1092" s="45"/>
      <c r="L1092" s="45"/>
      <c r="M1092" s="43"/>
      <c r="O1092" s="12">
        <f t="shared" si="116"/>
        <v>89.916666666666671</v>
      </c>
      <c r="P1092" s="13">
        <v>1079</v>
      </c>
      <c r="Q1092" s="22">
        <v>2.7479990576282365E-2</v>
      </c>
      <c r="R1092" s="19">
        <f t="shared" si="117"/>
        <v>2.8282587846756524E-2</v>
      </c>
      <c r="S1092" s="22">
        <v>3.8769756790515864E-2</v>
      </c>
      <c r="T1092" s="19">
        <f t="shared" si="118"/>
        <v>4.2997922245145093E-2</v>
      </c>
      <c r="U1092" s="24">
        <v>4.0149651147167953E-2</v>
      </c>
      <c r="V1092" s="24">
        <f t="shared" si="119"/>
        <v>4.2997297425226844E-2</v>
      </c>
      <c r="W1092" s="23">
        <f t="shared" si="120"/>
        <v>3.5143742081611418E-3</v>
      </c>
      <c r="X1092" s="24">
        <v>3.987163101002178E-2</v>
      </c>
      <c r="Y1092" s="24">
        <f t="shared" si="121"/>
        <v>4.2997457769275771E-2</v>
      </c>
      <c r="Z1092" s="23">
        <f t="shared" si="122"/>
        <v>3.514387159071708E-3</v>
      </c>
      <c r="AA1092" s="36"/>
    </row>
    <row r="1093" spans="4:27" ht="13.9" customHeight="1">
      <c r="D1093" s="8"/>
      <c r="E1093" s="9"/>
      <c r="F1093" s="19"/>
      <c r="G1093" s="19"/>
      <c r="H1093" s="19"/>
      <c r="J1093" s="45"/>
      <c r="K1093" s="45"/>
      <c r="L1093" s="45"/>
      <c r="M1093" s="43"/>
      <c r="O1093" s="12">
        <f t="shared" si="116"/>
        <v>90</v>
      </c>
      <c r="P1093" s="13">
        <v>1080</v>
      </c>
      <c r="Q1093" s="22">
        <v>2.7480733432075466E-2</v>
      </c>
      <c r="R1093" s="19">
        <f t="shared" si="117"/>
        <v>2.8283064544059267E-2</v>
      </c>
      <c r="S1093" s="22">
        <v>3.8773663819769988E-2</v>
      </c>
      <c r="T1093" s="19">
        <f t="shared" si="118"/>
        <v>4.2997944510720698E-2</v>
      </c>
      <c r="U1093" s="24">
        <v>4.0152284257295445E-2</v>
      </c>
      <c r="V1093" s="24">
        <f t="shared" si="119"/>
        <v>4.299732442993931E-2</v>
      </c>
      <c r="W1093" s="23">
        <f t="shared" si="120"/>
        <v>3.5143763952654172E-3</v>
      </c>
      <c r="X1093" s="24">
        <v>3.9874520956700854E-2</v>
      </c>
      <c r="Y1093" s="24">
        <f t="shared" si="121"/>
        <v>4.2997483600375475E-2</v>
      </c>
      <c r="Z1093" s="23">
        <f t="shared" si="122"/>
        <v>3.5143892514466479E-3</v>
      </c>
      <c r="AA1093" s="36"/>
    </row>
    <row r="1094" spans="4:27" ht="13.9" customHeight="1">
      <c r="D1094" s="8"/>
      <c r="E1094" s="9"/>
      <c r="F1094" s="19"/>
      <c r="G1094" s="19"/>
      <c r="H1094" s="19"/>
      <c r="J1094" s="45"/>
      <c r="K1094" s="45"/>
      <c r="L1094" s="45"/>
      <c r="M1094" s="43"/>
      <c r="O1094" s="12">
        <f t="shared" si="116"/>
        <v>90.083333333333329</v>
      </c>
      <c r="P1094" s="13">
        <v>1081</v>
      </c>
      <c r="Q1094" s="22">
        <v>2.7481475354652174E-2</v>
      </c>
      <c r="R1094" s="19">
        <f t="shared" si="117"/>
        <v>2.828353728090538E-2</v>
      </c>
      <c r="S1094" s="22">
        <v>3.8777563655646219E-2</v>
      </c>
      <c r="T1094" s="19">
        <f t="shared" si="118"/>
        <v>4.2997966537588139E-2</v>
      </c>
      <c r="U1094" s="24">
        <v>4.0154912527364139E-2</v>
      </c>
      <c r="V1094" s="24">
        <f t="shared" si="119"/>
        <v>4.2997351165258602E-2</v>
      </c>
      <c r="W1094" s="23">
        <f t="shared" si="120"/>
        <v>3.5143785604689892E-3</v>
      </c>
      <c r="X1094" s="24">
        <v>3.9877405588411019E-2</v>
      </c>
      <c r="Y1094" s="24">
        <f t="shared" si="121"/>
        <v>4.2997509168792636E-2</v>
      </c>
      <c r="Z1094" s="23">
        <f t="shared" si="122"/>
        <v>3.514391322551047E-3</v>
      </c>
      <c r="AA1094" s="36"/>
    </row>
    <row r="1095" spans="4:27" ht="13.9" customHeight="1">
      <c r="D1095" s="8"/>
      <c r="E1095" s="9"/>
      <c r="F1095" s="19"/>
      <c r="G1095" s="19"/>
      <c r="H1095" s="19"/>
      <c r="J1095" s="45"/>
      <c r="K1095" s="45"/>
      <c r="L1095" s="45"/>
      <c r="M1095" s="43"/>
      <c r="O1095" s="12">
        <f t="shared" si="116"/>
        <v>90.166666666666671</v>
      </c>
      <c r="P1095" s="13">
        <v>1082</v>
      </c>
      <c r="Q1095" s="22">
        <v>2.7482216342942012E-2</v>
      </c>
      <c r="R1095" s="19">
        <f t="shared" si="117"/>
        <v>2.8284006091330083E-2</v>
      </c>
      <c r="S1095" s="22">
        <v>3.8781456317829033E-2</v>
      </c>
      <c r="T1095" s="19">
        <f t="shared" si="118"/>
        <v>4.2997988328888237E-2</v>
      </c>
      <c r="U1095" s="24">
        <v>4.0157535970527292E-2</v>
      </c>
      <c r="V1095" s="24">
        <f t="shared" si="119"/>
        <v>4.2997377633164691E-2</v>
      </c>
      <c r="W1095" s="23">
        <f t="shared" si="120"/>
        <v>3.5143807040727282E-3</v>
      </c>
      <c r="X1095" s="24">
        <v>3.9880284919624698E-2</v>
      </c>
      <c r="Y1095" s="24">
        <f t="shared" si="121"/>
        <v>4.299753447776089E-2</v>
      </c>
      <c r="Z1095" s="23">
        <f t="shared" si="122"/>
        <v>3.5143933725938492E-3</v>
      </c>
      <c r="AA1095" s="36"/>
    </row>
    <row r="1096" spans="4:27" ht="13.9" customHeight="1">
      <c r="D1096" s="8"/>
      <c r="E1096" s="9"/>
      <c r="F1096" s="19"/>
      <c r="G1096" s="19"/>
      <c r="H1096" s="19"/>
      <c r="J1096" s="45"/>
      <c r="K1096" s="45"/>
      <c r="L1096" s="45"/>
      <c r="M1096" s="43"/>
      <c r="O1096" s="12">
        <f t="shared" si="116"/>
        <v>90.25</v>
      </c>
      <c r="P1096" s="13">
        <v>1083</v>
      </c>
      <c r="Q1096" s="22">
        <v>2.7482956395909364E-2</v>
      </c>
      <c r="R1096" s="19">
        <f t="shared" si="117"/>
        <v>2.8284471006524647E-2</v>
      </c>
      <c r="S1096" s="22">
        <v>3.8785341825933406E-2</v>
      </c>
      <c r="T1096" s="19">
        <f t="shared" si="118"/>
        <v>4.2998009886097588E-2</v>
      </c>
      <c r="U1096" s="24">
        <v>4.0160154599891529E-2</v>
      </c>
      <c r="V1096" s="24">
        <f t="shared" si="119"/>
        <v>4.2997403836895876E-2</v>
      </c>
      <c r="W1096" s="23">
        <f t="shared" si="120"/>
        <v>3.514382826235618E-3</v>
      </c>
      <c r="X1096" s="24">
        <v>3.988315896476391E-2</v>
      </c>
      <c r="Y1096" s="24">
        <f t="shared" si="121"/>
        <v>4.2997559529150742E-2</v>
      </c>
      <c r="Z1096" s="23">
        <f t="shared" si="122"/>
        <v>3.5143954018344026E-3</v>
      </c>
      <c r="AA1096" s="36"/>
    </row>
    <row r="1097" spans="4:27" ht="13.9" customHeight="1">
      <c r="D1097" s="8"/>
      <c r="E1097" s="9"/>
      <c r="F1097" s="19"/>
      <c r="G1097" s="19"/>
      <c r="H1097" s="19"/>
      <c r="J1097" s="45"/>
      <c r="K1097" s="45"/>
      <c r="L1097" s="45"/>
      <c r="M1097" s="43"/>
      <c r="O1097" s="12">
        <f t="shared" si="116"/>
        <v>90.333333333333329</v>
      </c>
      <c r="P1097" s="13">
        <v>1084</v>
      </c>
      <c r="Q1097" s="22">
        <v>2.7483695512551698E-2</v>
      </c>
      <c r="R1097" s="19">
        <f t="shared" si="117"/>
        <v>2.8284932059963186E-2</v>
      </c>
      <c r="S1097" s="22">
        <v>3.8789220199503482E-2</v>
      </c>
      <c r="T1097" s="19">
        <f t="shared" si="118"/>
        <v>4.2998031212560406E-2</v>
      </c>
      <c r="U1097" s="24">
        <v>4.0162768428517959E-2</v>
      </c>
      <c r="V1097" s="24">
        <f t="shared" si="119"/>
        <v>4.2997429778671936E-2</v>
      </c>
      <c r="W1097" s="23">
        <f t="shared" si="120"/>
        <v>3.514384927217451E-3</v>
      </c>
      <c r="X1097" s="24">
        <v>3.9886027738199381E-2</v>
      </c>
      <c r="Y1097" s="24">
        <f t="shared" si="121"/>
        <v>4.2997584326353699E-2</v>
      </c>
      <c r="Z1097" s="23">
        <f t="shared" si="122"/>
        <v>3.5143974104225872E-3</v>
      </c>
      <c r="AA1097" s="36"/>
    </row>
    <row r="1098" spans="4:27" ht="13.9" customHeight="1">
      <c r="D1098" s="8"/>
      <c r="E1098" s="9"/>
      <c r="F1098" s="19"/>
      <c r="G1098" s="19"/>
      <c r="H1098" s="19"/>
      <c r="J1098" s="45"/>
      <c r="K1098" s="45"/>
      <c r="L1098" s="45"/>
      <c r="M1098" s="43"/>
      <c r="O1098" s="12">
        <f t="shared" si="116"/>
        <v>90.416666666666671</v>
      </c>
      <c r="P1098" s="13">
        <v>1085</v>
      </c>
      <c r="Q1098" s="22">
        <v>2.7484433691900456E-2</v>
      </c>
      <c r="R1098" s="19">
        <f t="shared" si="117"/>
        <v>2.8285389283025264E-2</v>
      </c>
      <c r="S1098" s="22">
        <v>3.8793091458014572E-2</v>
      </c>
      <c r="T1098" s="19">
        <f t="shared" si="118"/>
        <v>4.2998052310323942E-2</v>
      </c>
      <c r="U1098" s="24">
        <v>4.0165377469421726E-2</v>
      </c>
      <c r="V1098" s="24">
        <f t="shared" si="119"/>
        <v>4.2997455461304401E-2</v>
      </c>
      <c r="W1098" s="23">
        <f t="shared" si="120"/>
        <v>3.5143870071958627E-3</v>
      </c>
      <c r="X1098" s="24">
        <v>3.9888891254252101E-2</v>
      </c>
      <c r="Y1098" s="24">
        <f t="shared" si="121"/>
        <v>4.2997608871670367E-2</v>
      </c>
      <c r="Z1098" s="23">
        <f t="shared" si="122"/>
        <v>3.5143993986301858E-3</v>
      </c>
      <c r="AA1098" s="36"/>
    </row>
    <row r="1099" spans="4:27" ht="13.9" customHeight="1">
      <c r="D1099" s="8"/>
      <c r="E1099" s="9"/>
      <c r="F1099" s="19"/>
      <c r="G1099" s="19"/>
      <c r="H1099" s="19"/>
      <c r="J1099" s="45"/>
      <c r="K1099" s="45"/>
      <c r="L1099" s="45"/>
      <c r="M1099" s="43"/>
      <c r="O1099" s="12">
        <f t="shared" si="116"/>
        <v>90.5</v>
      </c>
      <c r="P1099" s="13">
        <v>1086</v>
      </c>
      <c r="Q1099" s="22">
        <v>2.7485170933019942E-2</v>
      </c>
      <c r="R1099" s="19">
        <f t="shared" si="117"/>
        <v>2.8285842708311248E-2</v>
      </c>
      <c r="S1099" s="22">
        <v>3.8796955620872042E-2</v>
      </c>
      <c r="T1099" s="19">
        <f t="shared" si="118"/>
        <v>4.2998073182460406E-2</v>
      </c>
      <c r="U1099" s="24">
        <v>4.01679817355729E-2</v>
      </c>
      <c r="V1099" s="24">
        <f t="shared" si="119"/>
        <v>4.2997480886866946E-2</v>
      </c>
      <c r="W1099" s="23">
        <f t="shared" si="120"/>
        <v>3.5143890663964505E-3</v>
      </c>
      <c r="X1099" s="24">
        <v>3.9891749527192211E-2</v>
      </c>
      <c r="Y1099" s="24">
        <f t="shared" si="121"/>
        <v>4.2997633167097593E-2</v>
      </c>
      <c r="Z1099" s="23">
        <f t="shared" si="122"/>
        <v>3.5144013666421614E-3</v>
      </c>
      <c r="AA1099" s="36"/>
    </row>
    <row r="1100" spans="4:27" ht="13.9" customHeight="1">
      <c r="D1100" s="8"/>
      <c r="E1100" s="9"/>
      <c r="F1100" s="19"/>
      <c r="G1100" s="19"/>
      <c r="H1100" s="19"/>
      <c r="J1100" s="45"/>
      <c r="K1100" s="45"/>
      <c r="L1100" s="45"/>
      <c r="M1100" s="43"/>
      <c r="O1100" s="12">
        <f t="shared" si="116"/>
        <v>90.583333333333329</v>
      </c>
      <c r="P1100" s="13">
        <v>1087</v>
      </c>
      <c r="Q1100" s="22">
        <v>2.7485907235007767E-2</v>
      </c>
      <c r="R1100" s="19">
        <f t="shared" si="117"/>
        <v>2.8286292366678456E-2</v>
      </c>
      <c r="S1100" s="22">
        <v>3.880081270741309E-2</v>
      </c>
      <c r="T1100" s="19">
        <f t="shared" si="118"/>
        <v>4.2998093830212358E-2</v>
      </c>
      <c r="U1100" s="24">
        <v>4.0170581239895586E-2</v>
      </c>
      <c r="V1100" s="24">
        <f t="shared" si="119"/>
        <v>4.299750605880126E-2</v>
      </c>
      <c r="W1100" s="23">
        <f t="shared" si="120"/>
        <v>3.5143911049853038E-3</v>
      </c>
      <c r="X1100" s="24">
        <v>3.9894602571239668E-2</v>
      </c>
      <c r="Y1100" s="24">
        <f t="shared" si="121"/>
        <v>4.2997657216055529E-2</v>
      </c>
      <c r="Z1100" s="23">
        <f t="shared" si="122"/>
        <v>3.5144033146179421E-3</v>
      </c>
      <c r="AA1100" s="36"/>
    </row>
    <row r="1101" spans="4:27" ht="13.9" customHeight="1">
      <c r="D1101" s="8"/>
      <c r="E1101" s="9"/>
      <c r="F1101" s="19"/>
      <c r="G1101" s="19"/>
      <c r="H1101" s="19"/>
      <c r="J1101" s="45"/>
      <c r="K1101" s="45"/>
      <c r="L1101" s="45"/>
      <c r="M1101" s="43"/>
      <c r="O1101" s="12">
        <f t="shared" si="116"/>
        <v>90.666666666666671</v>
      </c>
      <c r="P1101" s="13">
        <v>1088</v>
      </c>
      <c r="Q1101" s="22">
        <v>2.7486642596993072E-2</v>
      </c>
      <c r="R1101" s="19">
        <f t="shared" si="117"/>
        <v>2.8286738289986957E-2</v>
      </c>
      <c r="S1101" s="22">
        <v>3.8804662736904971E-2</v>
      </c>
      <c r="T1101" s="19">
        <f t="shared" si="118"/>
        <v>4.2998114257392084E-2</v>
      </c>
      <c r="U1101" s="24">
        <v>4.0173175995269483E-2</v>
      </c>
      <c r="V1101" s="24">
        <f t="shared" si="119"/>
        <v>4.2997530978936771E-2</v>
      </c>
      <c r="W1101" s="23">
        <f t="shared" si="120"/>
        <v>3.5143931232386461E-3</v>
      </c>
      <c r="X1101" s="24">
        <v>3.9897450400564916E-2</v>
      </c>
      <c r="Y1101" s="24">
        <f t="shared" si="121"/>
        <v>4.2997681020360279E-2</v>
      </c>
      <c r="Z1101" s="23">
        <f t="shared" si="122"/>
        <v>3.514405242832197E-3</v>
      </c>
      <c r="AA1101" s="36"/>
    </row>
    <row r="1102" spans="4:27" ht="13.9" customHeight="1">
      <c r="D1102" s="8"/>
      <c r="E1102" s="9"/>
      <c r="F1102" s="19"/>
      <c r="G1102" s="19"/>
      <c r="H1102" s="19"/>
      <c r="J1102" s="45"/>
      <c r="K1102" s="45"/>
      <c r="L1102" s="45"/>
      <c r="M1102" s="43"/>
      <c r="O1102" s="12">
        <f t="shared" ref="O1102:O1165" si="123">P1102/12</f>
        <v>90.75</v>
      </c>
      <c r="P1102" s="13">
        <v>1089</v>
      </c>
      <c r="Q1102" s="22">
        <v>2.7487377018137638E-2</v>
      </c>
      <c r="R1102" s="19">
        <f t="shared" ref="R1102:R1165" si="124">(1+Q1103)^P1103/(1+Q1102)^P1102-1</f>
        <v>2.8287180509163345E-2</v>
      </c>
      <c r="S1102" s="22">
        <v>3.880850572854766E-2</v>
      </c>
      <c r="T1102" s="19">
        <f t="shared" ref="T1102:T1165" si="125">(1+S1103)^P1103/(1+S1102)^P1102-1</f>
        <v>4.2998134465315196E-2</v>
      </c>
      <c r="U1102" s="24">
        <v>4.0175766014528991E-2</v>
      </c>
      <c r="V1102" s="24">
        <f t="shared" ref="V1102:V1165" si="126">(1+U1103)^P1103/(1+U1102)^P1102-1</f>
        <v>4.2997555650403418E-2</v>
      </c>
      <c r="W1102" s="23">
        <f t="shared" si="120"/>
        <v>3.5143951213032487E-3</v>
      </c>
      <c r="X1102" s="24">
        <v>3.9900293029288436E-2</v>
      </c>
      <c r="Y1102" s="24">
        <f t="shared" si="121"/>
        <v>4.2997704583197738E-2</v>
      </c>
      <c r="Z1102" s="23">
        <f t="shared" si="122"/>
        <v>3.5144071514305875E-3</v>
      </c>
      <c r="AA1102" s="36"/>
    </row>
    <row r="1103" spans="4:27" ht="13.9" customHeight="1">
      <c r="D1103" s="8"/>
      <c r="E1103" s="9"/>
      <c r="F1103" s="19"/>
      <c r="G1103" s="19"/>
      <c r="H1103" s="19"/>
      <c r="J1103" s="45"/>
      <c r="K1103" s="45"/>
      <c r="L1103" s="45"/>
      <c r="M1103" s="43"/>
      <c r="O1103" s="12">
        <f t="shared" si="123"/>
        <v>90.833333333333329</v>
      </c>
      <c r="P1103" s="13">
        <v>1090</v>
      </c>
      <c r="Q1103" s="22">
        <v>2.7488110497634333E-2</v>
      </c>
      <c r="R1103" s="19">
        <f t="shared" si="124"/>
        <v>2.8287619054470747E-2</v>
      </c>
      <c r="S1103" s="22">
        <v>3.8812341701472519E-2</v>
      </c>
      <c r="T1103" s="19">
        <f t="shared" si="125"/>
        <v>4.2998154456453941E-2</v>
      </c>
      <c r="U1103" s="24">
        <v>4.01783513104641E-2</v>
      </c>
      <c r="V1103" s="24">
        <f t="shared" si="126"/>
        <v>4.2997580075053721E-2</v>
      </c>
      <c r="W1103" s="23">
        <f t="shared" ref="W1103:W1166" si="127">(1+V1102)^(1/12)-1</f>
        <v>3.5143970994295781E-3</v>
      </c>
      <c r="X1103" s="24">
        <v>3.990313047148164E-2</v>
      </c>
      <c r="Y1103" s="24">
        <f t="shared" ref="Y1103:Y1166" si="128">(1+X1104)^P1104/(1+X1103)^P1103-1</f>
        <v>4.2997727906146643E-2</v>
      </c>
      <c r="Z1103" s="23">
        <f t="shared" ref="Z1103:Z1166" si="129">(1+Y1102)^(1/12)-1</f>
        <v>3.5144090406682427E-3</v>
      </c>
      <c r="AA1103" s="36"/>
    </row>
    <row r="1104" spans="4:27" ht="13.9" customHeight="1">
      <c r="D1104" s="8"/>
      <c r="E1104" s="9"/>
      <c r="F1104" s="19"/>
      <c r="G1104" s="19"/>
      <c r="H1104" s="19"/>
      <c r="J1104" s="45"/>
      <c r="K1104" s="45"/>
      <c r="L1104" s="45"/>
      <c r="M1104" s="43"/>
      <c r="O1104" s="12">
        <f t="shared" si="123"/>
        <v>90.916666666666671</v>
      </c>
      <c r="P1104" s="13">
        <v>1091</v>
      </c>
      <c r="Q1104" s="22">
        <v>2.7488843034707111E-2</v>
      </c>
      <c r="R1104" s="19">
        <f t="shared" si="124"/>
        <v>2.8288053957302051E-2</v>
      </c>
      <c r="S1104" s="22">
        <v>3.8816170674742523E-2</v>
      </c>
      <c r="T1104" s="19">
        <f t="shared" si="125"/>
        <v>4.2998174234065711E-2</v>
      </c>
      <c r="U1104" s="24">
        <v>4.0180931895819949E-2</v>
      </c>
      <c r="V1104" s="24">
        <f t="shared" si="126"/>
        <v>4.2997604255770705E-2</v>
      </c>
      <c r="W1104" s="23">
        <f t="shared" si="127"/>
        <v>3.5143990577666262E-3</v>
      </c>
      <c r="X1104" s="24">
        <v>3.9905962741166201E-2</v>
      </c>
      <c r="Y1104" s="24">
        <f t="shared" si="128"/>
        <v>4.2997750992627592E-2</v>
      </c>
      <c r="Z1104" s="23">
        <f t="shared" si="129"/>
        <v>3.5144109106719501E-3</v>
      </c>
      <c r="AA1104" s="36"/>
    </row>
    <row r="1105" spans="4:27" ht="13.9" customHeight="1">
      <c r="D1105" s="8"/>
      <c r="E1105" s="9"/>
      <c r="F1105" s="19"/>
      <c r="G1105" s="19"/>
      <c r="H1105" s="19"/>
      <c r="J1105" s="45"/>
      <c r="K1105" s="45"/>
      <c r="L1105" s="45"/>
      <c r="M1105" s="43"/>
      <c r="O1105" s="12">
        <f t="shared" si="123"/>
        <v>91</v>
      </c>
      <c r="P1105" s="13">
        <v>1092</v>
      </c>
      <c r="Q1105" s="22">
        <v>2.7489574628611235E-2</v>
      </c>
      <c r="R1105" s="19">
        <f t="shared" si="124"/>
        <v>2.8288485247739859E-2</v>
      </c>
      <c r="S1105" s="22">
        <v>3.8819992667354253E-2</v>
      </c>
      <c r="T1105" s="19">
        <f t="shared" si="125"/>
        <v>4.2998193798930773E-2</v>
      </c>
      <c r="U1105" s="24">
        <v>4.0183507783297268E-2</v>
      </c>
      <c r="V1105" s="24">
        <f t="shared" si="126"/>
        <v>4.2997628194609616E-2</v>
      </c>
      <c r="W1105" s="23">
        <f t="shared" si="127"/>
        <v>3.5144009965450973E-3</v>
      </c>
      <c r="X1105" s="24">
        <v>3.9908789852315163E-2</v>
      </c>
      <c r="Y1105" s="24">
        <f t="shared" si="128"/>
        <v>4.2997773844174247E-2</v>
      </c>
      <c r="Z1105" s="23">
        <f t="shared" si="129"/>
        <v>3.5144127617159349E-3</v>
      </c>
      <c r="AA1105" s="36"/>
    </row>
    <row r="1106" spans="4:27" ht="13.9" customHeight="1">
      <c r="D1106" s="8"/>
      <c r="E1106" s="9"/>
      <c r="F1106" s="19"/>
      <c r="G1106" s="19"/>
      <c r="H1106" s="19"/>
      <c r="J1106" s="45"/>
      <c r="K1106" s="45"/>
      <c r="L1106" s="45"/>
      <c r="M1106" s="43"/>
      <c r="O1106" s="12">
        <f t="shared" si="123"/>
        <v>91.083333333333329</v>
      </c>
      <c r="P1106" s="13">
        <v>1093</v>
      </c>
      <c r="Q1106" s="22">
        <v>2.7490305278632166E-2</v>
      </c>
      <c r="R1106" s="19">
        <f t="shared" si="124"/>
        <v>2.8288912954882672E-2</v>
      </c>
      <c r="S1106" s="22">
        <v>3.8823807698235679E-2</v>
      </c>
      <c r="T1106" s="19">
        <f t="shared" si="125"/>
        <v>4.2998213154701981E-2</v>
      </c>
      <c r="U1106" s="24">
        <v>4.0186078985552598E-2</v>
      </c>
      <c r="V1106" s="24">
        <f t="shared" si="126"/>
        <v>4.2997651894578715E-2</v>
      </c>
      <c r="W1106" s="23">
        <f t="shared" si="127"/>
        <v>3.5144029159304147E-3</v>
      </c>
      <c r="X1106" s="24">
        <v>3.9911611818852277E-2</v>
      </c>
      <c r="Y1106" s="24">
        <f t="shared" si="128"/>
        <v>4.2997796463273064E-2</v>
      </c>
      <c r="Z1106" s="23">
        <f t="shared" si="129"/>
        <v>3.5144145939232097E-3</v>
      </c>
      <c r="AA1106" s="36"/>
    </row>
    <row r="1107" spans="4:27" ht="13.9" customHeight="1">
      <c r="D1107" s="8"/>
      <c r="E1107" s="9"/>
      <c r="F1107" s="19"/>
      <c r="G1107" s="19"/>
      <c r="H1107" s="19"/>
      <c r="J1107" s="45"/>
      <c r="K1107" s="45"/>
      <c r="L1107" s="45"/>
      <c r="M1107" s="43"/>
      <c r="O1107" s="12">
        <f t="shared" si="123"/>
        <v>91.166666666666671</v>
      </c>
      <c r="P1107" s="13">
        <v>1094</v>
      </c>
      <c r="Q1107" s="22">
        <v>2.7491034984084672E-2</v>
      </c>
      <c r="R1107" s="19">
        <f t="shared" si="124"/>
        <v>2.828933711021997E-2</v>
      </c>
      <c r="S1107" s="22">
        <v>3.8827615786248826E-2</v>
      </c>
      <c r="T1107" s="19">
        <f t="shared" si="125"/>
        <v>4.299823230275468E-2</v>
      </c>
      <c r="U1107" s="24">
        <v>4.0188645515198962E-2</v>
      </c>
      <c r="V1107" s="24">
        <f t="shared" si="126"/>
        <v>4.2997675357554721E-2</v>
      </c>
      <c r="W1107" s="23">
        <f t="shared" si="127"/>
        <v>3.5144048161632746E-3</v>
      </c>
      <c r="X1107" s="24">
        <v>3.9914428654652667E-2</v>
      </c>
      <c r="Y1107" s="24">
        <f t="shared" si="128"/>
        <v>4.2997818853247605E-2</v>
      </c>
      <c r="Z1107" s="23">
        <f t="shared" si="129"/>
        <v>3.5144164074931705E-3</v>
      </c>
      <c r="AA1107" s="36"/>
    </row>
    <row r="1108" spans="4:27" ht="13.9" customHeight="1">
      <c r="D1108" s="8"/>
      <c r="E1108" s="9"/>
      <c r="F1108" s="19"/>
      <c r="G1108" s="19"/>
      <c r="H1108" s="19"/>
      <c r="J1108" s="45"/>
      <c r="K1108" s="45"/>
      <c r="L1108" s="45"/>
      <c r="M1108" s="43"/>
      <c r="O1108" s="12">
        <f t="shared" si="123"/>
        <v>91.25</v>
      </c>
      <c r="P1108" s="13">
        <v>1095</v>
      </c>
      <c r="Q1108" s="22">
        <v>2.7491763744314834E-2</v>
      </c>
      <c r="R1108" s="19">
        <f t="shared" si="124"/>
        <v>2.8289757741619681E-2</v>
      </c>
      <c r="S1108" s="22">
        <v>3.8831416950188435E-2</v>
      </c>
      <c r="T1108" s="19">
        <f t="shared" si="125"/>
        <v>4.2998251245792041E-2</v>
      </c>
      <c r="U1108" s="24">
        <v>4.019120738480475E-2</v>
      </c>
      <c r="V1108" s="24">
        <f t="shared" si="126"/>
        <v>4.2997698586237254E-2</v>
      </c>
      <c r="W1108" s="23">
        <f t="shared" si="127"/>
        <v>3.5144066973942234E-3</v>
      </c>
      <c r="X1108" s="24">
        <v>3.9917240373543494E-2</v>
      </c>
      <c r="Y1108" s="24">
        <f t="shared" si="128"/>
        <v>4.2997841015357974E-2</v>
      </c>
      <c r="Z1108" s="23">
        <f t="shared" si="129"/>
        <v>3.514418202692049E-3</v>
      </c>
      <c r="AA1108" s="36"/>
    </row>
    <row r="1109" spans="4:27" ht="13.9" customHeight="1">
      <c r="D1109" s="8"/>
      <c r="E1109" s="9"/>
      <c r="F1109" s="19"/>
      <c r="G1109" s="19"/>
      <c r="H1109" s="19"/>
      <c r="J1109" s="45"/>
      <c r="K1109" s="45"/>
      <c r="L1109" s="45"/>
      <c r="M1109" s="43"/>
      <c r="O1109" s="12">
        <f t="shared" si="123"/>
        <v>91.333333333333329</v>
      </c>
      <c r="P1109" s="13">
        <v>1096</v>
      </c>
      <c r="Q1109" s="22">
        <v>2.7492491558696264E-2</v>
      </c>
      <c r="R1109" s="19">
        <f t="shared" si="124"/>
        <v>2.8290174879449737E-2</v>
      </c>
      <c r="S1109" s="22">
        <v>3.8835211208783083E-2</v>
      </c>
      <c r="T1109" s="19">
        <f t="shared" si="125"/>
        <v>4.2998269985856208E-2</v>
      </c>
      <c r="U1109" s="24">
        <v>4.0193764606895499E-2</v>
      </c>
      <c r="V1109" s="24">
        <f t="shared" si="126"/>
        <v>4.2997721582431314E-2</v>
      </c>
      <c r="W1109" s="23">
        <f t="shared" si="127"/>
        <v>3.5144085598397545E-3</v>
      </c>
      <c r="X1109" s="24">
        <v>3.9920046989303293E-2</v>
      </c>
      <c r="Y1109" s="24">
        <f t="shared" si="128"/>
        <v>4.2997862951948962E-2</v>
      </c>
      <c r="Z1109" s="23">
        <f t="shared" si="129"/>
        <v>3.5144199796208753E-3</v>
      </c>
      <c r="AA1109" s="36"/>
    </row>
    <row r="1110" spans="4:27" ht="13.9" customHeight="1">
      <c r="D1110" s="8"/>
      <c r="E1110" s="9"/>
      <c r="F1110" s="19"/>
      <c r="G1110" s="19"/>
      <c r="H1110" s="19"/>
      <c r="J1110" s="45"/>
      <c r="K1110" s="45"/>
      <c r="L1110" s="45"/>
      <c r="M1110" s="43"/>
      <c r="O1110" s="12">
        <f t="shared" si="123"/>
        <v>91.416666666666671</v>
      </c>
      <c r="P1110" s="13">
        <v>1097</v>
      </c>
      <c r="Q1110" s="22">
        <v>2.7493218426632771E-2</v>
      </c>
      <c r="R1110" s="19">
        <f t="shared" si="124"/>
        <v>2.829058855207145E-2</v>
      </c>
      <c r="S1110" s="22">
        <v>3.883899858069495E-2</v>
      </c>
      <c r="T1110" s="19">
        <f t="shared" si="125"/>
        <v>4.2998288524674022E-2</v>
      </c>
      <c r="U1110" s="24">
        <v>4.0196317193952558E-2</v>
      </c>
      <c r="V1110" s="24">
        <f t="shared" si="126"/>
        <v>4.2997744349338562E-2</v>
      </c>
      <c r="W1110" s="23">
        <f t="shared" si="127"/>
        <v>3.5144104036446411E-3</v>
      </c>
      <c r="X1110" s="24">
        <v>3.992284851566219E-2</v>
      </c>
      <c r="Y1110" s="24">
        <f t="shared" si="128"/>
        <v>4.2997884666198694E-2</v>
      </c>
      <c r="Z1110" s="23">
        <f t="shared" si="129"/>
        <v>3.5144217384681653E-3</v>
      </c>
      <c r="AA1110" s="36"/>
    </row>
    <row r="1111" spans="4:27" ht="13.9" customHeight="1">
      <c r="D1111" s="8"/>
      <c r="E1111" s="9"/>
      <c r="F1111" s="19"/>
      <c r="G1111" s="19"/>
      <c r="H1111" s="19"/>
      <c r="J1111" s="45"/>
      <c r="K1111" s="45"/>
      <c r="L1111" s="45"/>
      <c r="M1111" s="43"/>
      <c r="O1111" s="12">
        <f t="shared" si="123"/>
        <v>91.5</v>
      </c>
      <c r="P1111" s="13">
        <v>1098</v>
      </c>
      <c r="Q1111" s="22">
        <v>2.7493944347555921E-2</v>
      </c>
      <c r="R1111" s="19">
        <f t="shared" si="124"/>
        <v>2.8290998789010091E-2</v>
      </c>
      <c r="S1111" s="22">
        <v>3.8842779084520274E-2</v>
      </c>
      <c r="T1111" s="19">
        <f t="shared" si="125"/>
        <v>4.2998306865382752E-2</v>
      </c>
      <c r="U1111" s="24">
        <v>4.0198865158414421E-2</v>
      </c>
      <c r="V1111" s="24">
        <f t="shared" si="126"/>
        <v>4.2997766888549949E-2</v>
      </c>
      <c r="W1111" s="23">
        <f t="shared" si="127"/>
        <v>3.5144122290657887E-3</v>
      </c>
      <c r="X1111" s="24">
        <v>3.9925644966303242E-2</v>
      </c>
      <c r="Y1111" s="24">
        <f t="shared" si="128"/>
        <v>4.2997906159364385E-2</v>
      </c>
      <c r="Z1111" s="23">
        <f t="shared" si="129"/>
        <v>3.5144234794881601E-3</v>
      </c>
      <c r="AA1111" s="36"/>
    </row>
    <row r="1112" spans="4:27" ht="13.9" customHeight="1">
      <c r="D1112" s="8"/>
      <c r="E1112" s="9"/>
      <c r="F1112" s="19"/>
      <c r="G1112" s="19"/>
      <c r="H1112" s="19"/>
      <c r="J1112" s="45"/>
      <c r="K1112" s="45"/>
      <c r="L1112" s="45"/>
      <c r="M1112" s="43"/>
      <c r="O1112" s="12">
        <f t="shared" si="123"/>
        <v>91.583333333333329</v>
      </c>
      <c r="P1112" s="13">
        <v>1099</v>
      </c>
      <c r="Q1112" s="22">
        <v>2.7494669320926368E-2</v>
      </c>
      <c r="R1112" s="19">
        <f t="shared" si="124"/>
        <v>2.829140561818777E-2</v>
      </c>
      <c r="S1112" s="22">
        <v>3.884655273879023E-2</v>
      </c>
      <c r="T1112" s="19">
        <f t="shared" si="125"/>
        <v>4.2998325009122595E-2</v>
      </c>
      <c r="U1112" s="24">
        <v>4.0201408512676506E-2</v>
      </c>
      <c r="V1112" s="24">
        <f t="shared" si="126"/>
        <v>4.2997789202231074E-2</v>
      </c>
      <c r="W1112" s="23">
        <f t="shared" si="127"/>
        <v>3.5144140362304288E-3</v>
      </c>
      <c r="X1112" s="24">
        <v>3.9928436354861097E-2</v>
      </c>
      <c r="Y1112" s="24">
        <f t="shared" si="128"/>
        <v>4.299792743474451E-2</v>
      </c>
      <c r="Z1112" s="23">
        <f t="shared" si="129"/>
        <v>3.5144252027818901E-3</v>
      </c>
      <c r="AA1112" s="36"/>
    </row>
    <row r="1113" spans="4:27" ht="13.9" customHeight="1">
      <c r="D1113" s="8"/>
      <c r="E1113" s="9"/>
      <c r="F1113" s="19"/>
      <c r="G1113" s="19"/>
      <c r="H1113" s="19"/>
      <c r="J1113" s="45"/>
      <c r="K1113" s="45"/>
      <c r="L1113" s="45"/>
      <c r="M1113" s="43"/>
      <c r="O1113" s="12">
        <f t="shared" si="123"/>
        <v>91.666666666666671</v>
      </c>
      <c r="P1113" s="13">
        <v>1100</v>
      </c>
      <c r="Q1113" s="22">
        <v>2.7495393346232078E-2</v>
      </c>
      <c r="R1113" s="19">
        <f t="shared" si="124"/>
        <v>2.8291809068390794E-2</v>
      </c>
      <c r="S1113" s="22">
        <v>3.8850319561970048E-2</v>
      </c>
      <c r="T1113" s="19">
        <f t="shared" si="125"/>
        <v>4.2998342958558089E-2</v>
      </c>
      <c r="U1113" s="24">
        <v>4.0203947269090712E-2</v>
      </c>
      <c r="V1113" s="24">
        <f t="shared" si="126"/>
        <v>4.2997811293445043E-2</v>
      </c>
      <c r="W1113" s="23">
        <f t="shared" si="127"/>
        <v>3.5144158253122004E-3</v>
      </c>
      <c r="X1113" s="24">
        <v>3.9931222694923552E-2</v>
      </c>
      <c r="Y1113" s="24">
        <f t="shared" si="128"/>
        <v>4.2997948493282978E-2</v>
      </c>
      <c r="Z1113" s="23">
        <f t="shared" si="129"/>
        <v>3.5144269086140323E-3</v>
      </c>
      <c r="AA1113" s="36"/>
    </row>
    <row r="1114" spans="4:27" ht="13.9" customHeight="1">
      <c r="D1114" s="8"/>
      <c r="E1114" s="9"/>
      <c r="F1114" s="19"/>
      <c r="G1114" s="19"/>
      <c r="H1114" s="19"/>
      <c r="J1114" s="45"/>
      <c r="K1114" s="45"/>
      <c r="L1114" s="45"/>
      <c r="M1114" s="43"/>
      <c r="O1114" s="12">
        <f t="shared" si="123"/>
        <v>91.75</v>
      </c>
      <c r="P1114" s="13">
        <v>1101</v>
      </c>
      <c r="Q1114" s="22">
        <v>2.749611642298877E-2</v>
      </c>
      <c r="R1114" s="19">
        <f t="shared" si="124"/>
        <v>2.8292209167352755E-2</v>
      </c>
      <c r="S1114" s="22">
        <v>3.8854079572460121E-2</v>
      </c>
      <c r="T1114" s="19">
        <f t="shared" si="125"/>
        <v>4.2998360715976069E-2</v>
      </c>
      <c r="U1114" s="24">
        <v>4.0206481439966746E-2</v>
      </c>
      <c r="V1114" s="24">
        <f t="shared" si="126"/>
        <v>4.299783316347261E-2</v>
      </c>
      <c r="W1114" s="23">
        <f t="shared" si="127"/>
        <v>3.5144175965569069E-3</v>
      </c>
      <c r="X1114" s="24">
        <v>3.9934004000030443E-2</v>
      </c>
      <c r="Y1114" s="24">
        <f t="shared" si="128"/>
        <v>4.2997969338160136E-2</v>
      </c>
      <c r="Z1114" s="23">
        <f t="shared" si="129"/>
        <v>3.5144285970598599E-3</v>
      </c>
      <c r="AA1114" s="36"/>
    </row>
    <row r="1115" spans="4:27" ht="13.9" customHeight="1">
      <c r="D1115" s="8"/>
      <c r="E1115" s="9"/>
      <c r="F1115" s="19"/>
      <c r="G1115" s="19"/>
      <c r="H1115" s="19"/>
      <c r="J1115" s="45"/>
      <c r="K1115" s="45"/>
      <c r="L1115" s="45"/>
      <c r="M1115" s="43"/>
      <c r="O1115" s="12">
        <f t="shared" si="123"/>
        <v>91.833333333333329</v>
      </c>
      <c r="P1115" s="13">
        <v>1102</v>
      </c>
      <c r="Q1115" s="22">
        <v>2.7496838550739477E-2</v>
      </c>
      <c r="R1115" s="19">
        <f t="shared" si="124"/>
        <v>2.8292605943127436E-2</v>
      </c>
      <c r="S1115" s="22">
        <v>3.8857832788596447E-2</v>
      </c>
      <c r="T1115" s="19">
        <f t="shared" si="125"/>
        <v>4.2998378282746108E-2</v>
      </c>
      <c r="U1115" s="24">
        <v>4.0209011037571463E-2</v>
      </c>
      <c r="V1115" s="24">
        <f t="shared" si="126"/>
        <v>4.299785481515972E-2</v>
      </c>
      <c r="W1115" s="23">
        <f t="shared" si="127"/>
        <v>3.5144193500671328E-3</v>
      </c>
      <c r="X1115" s="24">
        <v>3.9936780283674977E-2</v>
      </c>
      <c r="Y1115" s="24">
        <f t="shared" si="128"/>
        <v>4.2997989971395256E-2</v>
      </c>
      <c r="Z1115" s="23">
        <f t="shared" si="129"/>
        <v>3.5144302683747242E-3</v>
      </c>
      <c r="AA1115" s="36"/>
    </row>
    <row r="1116" spans="4:27" ht="13.9" customHeight="1">
      <c r="D1116" s="8"/>
      <c r="E1116" s="9"/>
      <c r="F1116" s="19"/>
      <c r="G1116" s="19"/>
      <c r="H1116" s="19"/>
      <c r="J1116" s="45"/>
      <c r="K1116" s="45"/>
      <c r="L1116" s="45"/>
      <c r="M1116" s="43"/>
      <c r="O1116" s="12">
        <f t="shared" si="123"/>
        <v>91.916666666666671</v>
      </c>
      <c r="P1116" s="13">
        <v>1103</v>
      </c>
      <c r="Q1116" s="22">
        <v>2.7497559729053878E-2</v>
      </c>
      <c r="R1116" s="19">
        <f t="shared" si="124"/>
        <v>2.8292999423289666E-2</v>
      </c>
      <c r="S1116" s="22">
        <v>3.8861579228649967E-2</v>
      </c>
      <c r="T1116" s="19">
        <f t="shared" si="125"/>
        <v>4.2998395661138833E-2</v>
      </c>
      <c r="U1116" s="24">
        <v>4.0211536074129306E-2</v>
      </c>
      <c r="V1116" s="24">
        <f t="shared" si="126"/>
        <v>4.299787625056406E-2</v>
      </c>
      <c r="W1116" s="23">
        <f t="shared" si="127"/>
        <v>3.514421086070918E-3</v>
      </c>
      <c r="X1116" s="24">
        <v>3.993955155930351E-2</v>
      </c>
      <c r="Y1116" s="24">
        <f t="shared" si="128"/>
        <v>4.2998010394690311E-2</v>
      </c>
      <c r="Z1116" s="23">
        <f t="shared" si="129"/>
        <v>3.5144319227202736E-3</v>
      </c>
      <c r="AA1116" s="36"/>
    </row>
    <row r="1117" spans="4:27" ht="13.9" customHeight="1">
      <c r="D1117" s="8"/>
      <c r="E1117" s="9"/>
      <c r="F1117" s="19"/>
      <c r="G1117" s="19"/>
      <c r="H1117" s="19"/>
      <c r="J1117" s="45"/>
      <c r="K1117" s="45"/>
      <c r="L1117" s="45"/>
      <c r="M1117" s="43"/>
      <c r="O1117" s="12">
        <f t="shared" si="123"/>
        <v>92</v>
      </c>
      <c r="P1117" s="13">
        <v>1104</v>
      </c>
      <c r="Q1117" s="22">
        <v>2.7498279957528515E-2</v>
      </c>
      <c r="R1117" s="19">
        <f t="shared" si="124"/>
        <v>2.8293389635316357E-2</v>
      </c>
      <c r="S1117" s="22">
        <v>3.8865318910827451E-2</v>
      </c>
      <c r="T1117" s="19">
        <f t="shared" si="125"/>
        <v>4.299841285364181E-2</v>
      </c>
      <c r="U1117" s="24">
        <v>4.0214056561822531E-2</v>
      </c>
      <c r="V1117" s="24">
        <f t="shared" si="126"/>
        <v>4.2997897471642066E-2</v>
      </c>
      <c r="W1117" s="23">
        <f t="shared" si="127"/>
        <v>3.5144228047336856E-3</v>
      </c>
      <c r="X1117" s="24">
        <v>3.9942317840315322E-2</v>
      </c>
      <c r="Y1117" s="24">
        <f t="shared" si="128"/>
        <v>4.2998030610313931E-2</v>
      </c>
      <c r="Z1117" s="23">
        <f t="shared" si="129"/>
        <v>3.5144335602330656E-3</v>
      </c>
      <c r="AA1117" s="36"/>
    </row>
    <row r="1118" spans="4:27" ht="13.9" customHeight="1">
      <c r="D1118" s="8"/>
      <c r="E1118" s="9"/>
      <c r="F1118" s="19"/>
      <c r="G1118" s="19"/>
      <c r="H1118" s="19"/>
      <c r="J1118" s="45"/>
      <c r="K1118" s="45"/>
      <c r="L1118" s="45"/>
      <c r="M1118" s="43"/>
      <c r="O1118" s="12">
        <f t="shared" si="123"/>
        <v>92.083333333333329</v>
      </c>
      <c r="P1118" s="13">
        <v>1105</v>
      </c>
      <c r="Q1118" s="22">
        <v>2.7498999235785915E-2</v>
      </c>
      <c r="R1118" s="19">
        <f t="shared" si="124"/>
        <v>2.8293776606411081E-2</v>
      </c>
      <c r="S1118" s="22">
        <v>3.8869051853272163E-2</v>
      </c>
      <c r="T1118" s="19">
        <f t="shared" si="125"/>
        <v>4.2998429861659693E-2</v>
      </c>
      <c r="U1118" s="24">
        <v>4.0216572512791204E-2</v>
      </c>
      <c r="V1118" s="24">
        <f t="shared" si="126"/>
        <v>4.2997918480606634E-2</v>
      </c>
      <c r="W1118" s="23">
        <f t="shared" si="127"/>
        <v>3.5144245062117552E-3</v>
      </c>
      <c r="X1118" s="24">
        <v>3.9945079140063289E-2</v>
      </c>
      <c r="Y1118" s="24">
        <f t="shared" si="128"/>
        <v>4.2998050620716377E-2</v>
      </c>
      <c r="Z1118" s="23">
        <f t="shared" si="129"/>
        <v>3.5144351810951768E-3</v>
      </c>
      <c r="AA1118" s="36"/>
    </row>
    <row r="1119" spans="4:27" ht="13.9" customHeight="1">
      <c r="D1119" s="8"/>
      <c r="E1119" s="9"/>
      <c r="F1119" s="19"/>
      <c r="G1119" s="19"/>
      <c r="H1119" s="19"/>
      <c r="J1119" s="45"/>
      <c r="K1119" s="45"/>
      <c r="L1119" s="45"/>
      <c r="M1119" s="43"/>
      <c r="O1119" s="12">
        <f t="shared" si="123"/>
        <v>92.166666666666671</v>
      </c>
      <c r="P1119" s="13">
        <v>1106</v>
      </c>
      <c r="Q1119" s="22">
        <v>2.7499717563474801E-2</v>
      </c>
      <c r="R1119" s="19">
        <f t="shared" si="124"/>
        <v>2.8294160363036891E-2</v>
      </c>
      <c r="S1119" s="22">
        <v>3.8872778074063197E-2</v>
      </c>
      <c r="T1119" s="19">
        <f t="shared" si="125"/>
        <v>4.2998446687698921E-2</v>
      </c>
      <c r="U1119" s="24">
        <v>4.0219083939133426E-2</v>
      </c>
      <c r="V1119" s="24">
        <f t="shared" si="126"/>
        <v>4.2997939280025932E-2</v>
      </c>
      <c r="W1119" s="23">
        <f t="shared" si="127"/>
        <v>3.5144261906829843E-3</v>
      </c>
      <c r="X1119" s="24">
        <v>3.994783547185432E-2</v>
      </c>
      <c r="Y1119" s="24">
        <f t="shared" si="128"/>
        <v>4.2998070428055257E-2</v>
      </c>
      <c r="Z1119" s="23">
        <f t="shared" si="129"/>
        <v>3.5144367855026726E-3</v>
      </c>
      <c r="AA1119" s="36"/>
    </row>
    <row r="1120" spans="4:27" ht="13.9" customHeight="1">
      <c r="D1120" s="8"/>
      <c r="E1120" s="9"/>
      <c r="F1120" s="19"/>
      <c r="G1120" s="19"/>
      <c r="H1120" s="19"/>
      <c r="J1120" s="45"/>
      <c r="K1120" s="45"/>
      <c r="L1120" s="45"/>
      <c r="M1120" s="43"/>
      <c r="O1120" s="12">
        <f t="shared" si="123"/>
        <v>92.25</v>
      </c>
      <c r="P1120" s="13">
        <v>1107</v>
      </c>
      <c r="Q1120" s="22">
        <v>2.7500434940268992E-2</v>
      </c>
      <c r="R1120" s="19">
        <f t="shared" si="124"/>
        <v>2.8294540932501944E-2</v>
      </c>
      <c r="S1120" s="22">
        <v>3.8876497591216586E-2</v>
      </c>
      <c r="T1120" s="19">
        <f t="shared" si="125"/>
        <v>4.2998463333057124E-2</v>
      </c>
      <c r="U1120" s="24">
        <v>4.0221590852905997E-2</v>
      </c>
      <c r="V1120" s="24">
        <f t="shared" si="126"/>
        <v>4.2997959871228009E-2</v>
      </c>
      <c r="W1120" s="23">
        <f t="shared" si="127"/>
        <v>3.5144278583529864E-3</v>
      </c>
      <c r="X1120" s="24">
        <v>3.9950586848948921E-2</v>
      </c>
      <c r="Y1120" s="24">
        <f t="shared" si="128"/>
        <v>4.2998090034074066E-2</v>
      </c>
      <c r="Z1120" s="23">
        <f t="shared" si="129"/>
        <v>3.5144383736289697E-3</v>
      </c>
      <c r="AA1120" s="36"/>
    </row>
    <row r="1121" spans="4:27" ht="13.9" customHeight="1">
      <c r="D1121" s="8"/>
      <c r="E1121" s="9"/>
      <c r="F1121" s="19"/>
      <c r="G1121" s="19"/>
      <c r="H1121" s="19"/>
      <c r="J1121" s="45"/>
      <c r="K1121" s="45"/>
      <c r="L1121" s="45"/>
      <c r="M1121" s="43"/>
      <c r="O1121" s="12">
        <f t="shared" si="123"/>
        <v>92.333333333333329</v>
      </c>
      <c r="P1121" s="13">
        <v>1108</v>
      </c>
      <c r="Q1121" s="22">
        <v>2.750115136586806E-2</v>
      </c>
      <c r="R1121" s="19">
        <f t="shared" si="124"/>
        <v>2.8294918341387421E-2</v>
      </c>
      <c r="S1121" s="22">
        <v>3.8880210422684858E-2</v>
      </c>
      <c r="T1121" s="19">
        <f t="shared" si="125"/>
        <v>4.2998479800361311E-2</v>
      </c>
      <c r="U1121" s="24">
        <v>4.0224093266123306E-2</v>
      </c>
      <c r="V1121" s="24">
        <f t="shared" si="126"/>
        <v>4.2997980256936685E-2</v>
      </c>
      <c r="W1121" s="23">
        <f t="shared" si="127"/>
        <v>3.5144295093285649E-3</v>
      </c>
      <c r="X1121" s="24">
        <v>3.9953333284561854E-2</v>
      </c>
      <c r="Y1121" s="24">
        <f t="shared" si="128"/>
        <v>4.2998109440467669E-2</v>
      </c>
      <c r="Z1121" s="23">
        <f t="shared" si="129"/>
        <v>3.5144399456135123E-3</v>
      </c>
      <c r="AA1121" s="36"/>
    </row>
    <row r="1122" spans="4:27" ht="13.9" customHeight="1">
      <c r="D1122" s="8"/>
      <c r="E1122" s="9"/>
      <c r="F1122" s="19"/>
      <c r="G1122" s="19"/>
      <c r="H1122" s="19"/>
      <c r="J1122" s="45"/>
      <c r="K1122" s="45"/>
      <c r="L1122" s="45"/>
      <c r="M1122" s="43"/>
      <c r="O1122" s="12">
        <f t="shared" si="123"/>
        <v>92.416666666666671</v>
      </c>
      <c r="P1122" s="13">
        <v>1109</v>
      </c>
      <c r="Q1122" s="22">
        <v>2.7501866839996447E-2</v>
      </c>
      <c r="R1122" s="19">
        <f t="shared" si="124"/>
        <v>2.8295292615023504E-2</v>
      </c>
      <c r="S1122" s="22">
        <v>3.8883916586357925E-2</v>
      </c>
      <c r="T1122" s="19">
        <f t="shared" si="125"/>
        <v>4.2998496090888016E-2</v>
      </c>
      <c r="U1122" s="24">
        <v>4.0226591190759331E-2</v>
      </c>
      <c r="V1122" s="24">
        <f t="shared" si="126"/>
        <v>4.2998000438654982E-2</v>
      </c>
      <c r="W1122" s="23">
        <f t="shared" si="127"/>
        <v>3.5144311438277676E-3</v>
      </c>
      <c r="X1122" s="24">
        <v>3.9956074791861473E-2</v>
      </c>
      <c r="Y1122" s="24">
        <f t="shared" si="128"/>
        <v>4.2998128650157508E-2</v>
      </c>
      <c r="Z1122" s="23">
        <f t="shared" si="129"/>
        <v>3.5144415015924135E-3</v>
      </c>
      <c r="AA1122" s="36"/>
    </row>
    <row r="1123" spans="4:27" ht="13.9" customHeight="1">
      <c r="D1123" s="8"/>
      <c r="E1123" s="9"/>
      <c r="F1123" s="19"/>
      <c r="G1123" s="19"/>
      <c r="H1123" s="19"/>
      <c r="J1123" s="45"/>
      <c r="K1123" s="45"/>
      <c r="L1123" s="45"/>
      <c r="M1123" s="43"/>
      <c r="O1123" s="12">
        <f t="shared" si="123"/>
        <v>92.5</v>
      </c>
      <c r="P1123" s="13">
        <v>1110</v>
      </c>
      <c r="Q1123" s="22">
        <v>2.75025813624028E-2</v>
      </c>
      <c r="R1123" s="19">
        <f t="shared" si="124"/>
        <v>2.8295663780943059E-2</v>
      </c>
      <c r="S1123" s="22">
        <v>3.8887616100062861E-2</v>
      </c>
      <c r="T1123" s="19">
        <f t="shared" si="125"/>
        <v>4.2998512207065298E-2</v>
      </c>
      <c r="U1123" s="24">
        <v>4.022908463874586E-2</v>
      </c>
      <c r="V1123" s="24">
        <f t="shared" si="126"/>
        <v>4.2998020418883565E-2</v>
      </c>
      <c r="W1123" s="23">
        <f t="shared" si="127"/>
        <v>3.5144327619713867E-3</v>
      </c>
      <c r="X1123" s="24">
        <v>3.9958811383971504E-2</v>
      </c>
      <c r="Y1123" s="24">
        <f t="shared" si="128"/>
        <v>4.299814766429666E-2</v>
      </c>
      <c r="Z1123" s="23">
        <f t="shared" si="129"/>
        <v>3.5144430417997086E-3</v>
      </c>
      <c r="AA1123" s="36"/>
    </row>
    <row r="1124" spans="4:27" ht="13.9" customHeight="1">
      <c r="D1124" s="8"/>
      <c r="E1124" s="9"/>
      <c r="F1124" s="19"/>
      <c r="G1124" s="19"/>
      <c r="H1124" s="19"/>
      <c r="J1124" s="45"/>
      <c r="K1124" s="45"/>
      <c r="L1124" s="45"/>
      <c r="M1124" s="43"/>
      <c r="O1124" s="12">
        <f t="shared" si="123"/>
        <v>92.583333333333329</v>
      </c>
      <c r="P1124" s="13">
        <v>1111</v>
      </c>
      <c r="Q1124" s="22">
        <v>2.7503294932861078E-2</v>
      </c>
      <c r="R1124" s="19">
        <f t="shared" si="124"/>
        <v>2.8296031863320525E-2</v>
      </c>
      <c r="S1124" s="22">
        <v>3.8891308981564565E-2</v>
      </c>
      <c r="T1124" s="19">
        <f t="shared" si="125"/>
        <v>4.2998528150699711E-2</v>
      </c>
      <c r="U1124" s="24">
        <v>4.0231573621974048E-2</v>
      </c>
      <c r="V1124" s="24">
        <f t="shared" si="126"/>
        <v>4.2998040199287324E-2</v>
      </c>
      <c r="W1124" s="23">
        <f t="shared" si="127"/>
        <v>3.5144343639597064E-3</v>
      </c>
      <c r="X1124" s="24">
        <v>3.9961543073969485E-2</v>
      </c>
      <c r="Y1124" s="24">
        <f t="shared" si="128"/>
        <v>4.2998166485529454E-2</v>
      </c>
      <c r="Z1124" s="23">
        <f t="shared" si="129"/>
        <v>3.514444566328212E-3</v>
      </c>
      <c r="AA1124" s="36"/>
    </row>
    <row r="1125" spans="4:27" ht="13.9" customHeight="1">
      <c r="D1125" s="8"/>
      <c r="E1125" s="9"/>
      <c r="F1125" s="19"/>
      <c r="G1125" s="19"/>
      <c r="H1125" s="19"/>
      <c r="J1125" s="45"/>
      <c r="K1125" s="45"/>
      <c r="L1125" s="45"/>
      <c r="M1125" s="43"/>
      <c r="O1125" s="12">
        <f t="shared" si="123"/>
        <v>92.666666666666671</v>
      </c>
      <c r="P1125" s="13">
        <v>1112</v>
      </c>
      <c r="Q1125" s="22">
        <v>2.7504007551167886E-2</v>
      </c>
      <c r="R1125" s="19">
        <f t="shared" si="124"/>
        <v>2.8296396888970676E-2</v>
      </c>
      <c r="S1125" s="22">
        <v>3.8894995248565989E-2</v>
      </c>
      <c r="T1125" s="19">
        <f t="shared" si="125"/>
        <v>4.2998543923079335E-2</v>
      </c>
      <c r="U1125" s="24">
        <v>4.0234058152294194E-2</v>
      </c>
      <c r="V1125" s="24">
        <f t="shared" si="126"/>
        <v>4.2998059782523246E-2</v>
      </c>
      <c r="W1125" s="23">
        <f t="shared" si="127"/>
        <v>3.5144359499263977E-3</v>
      </c>
      <c r="X1125" s="24">
        <v>3.9964269874888325E-2</v>
      </c>
      <c r="Y1125" s="24">
        <f t="shared" si="128"/>
        <v>4.299818511518172E-2</v>
      </c>
      <c r="Z1125" s="23">
        <f t="shared" si="129"/>
        <v>3.5144460753895324E-3</v>
      </c>
      <c r="AA1125" s="36"/>
    </row>
    <row r="1126" spans="4:27" ht="13.9" customHeight="1">
      <c r="D1126" s="8"/>
      <c r="E1126" s="9"/>
      <c r="F1126" s="19"/>
      <c r="G1126" s="19"/>
      <c r="H1126" s="19"/>
      <c r="J1126" s="45"/>
      <c r="K1126" s="45"/>
      <c r="L1126" s="45"/>
      <c r="M1126" s="43"/>
      <c r="O1126" s="12">
        <f t="shared" si="123"/>
        <v>92.75</v>
      </c>
      <c r="P1126" s="13">
        <v>1113</v>
      </c>
      <c r="Q1126" s="22">
        <v>2.7504719217144702E-2</v>
      </c>
      <c r="R1126" s="19">
        <f t="shared" si="124"/>
        <v>2.8296758883329387E-2</v>
      </c>
      <c r="S1126" s="22">
        <v>3.8898674918707687E-2</v>
      </c>
      <c r="T1126" s="19">
        <f t="shared" si="125"/>
        <v>4.2998559526567837E-2</v>
      </c>
      <c r="U1126" s="24">
        <v>4.0236538241515962E-2</v>
      </c>
      <c r="V1126" s="24">
        <f t="shared" si="126"/>
        <v>4.2998079169407788E-2</v>
      </c>
      <c r="W1126" s="23">
        <f t="shared" si="127"/>
        <v>3.5144375200841793E-3</v>
      </c>
      <c r="X1126" s="24">
        <v>3.9966991799715412E-2</v>
      </c>
      <c r="Y1126" s="24">
        <f t="shared" si="128"/>
        <v>4.2998203555693726E-2</v>
      </c>
      <c r="Z1126" s="23">
        <f t="shared" si="129"/>
        <v>3.514447569090251E-3</v>
      </c>
      <c r="AA1126" s="36"/>
    </row>
    <row r="1127" spans="4:27" ht="13.9" customHeight="1">
      <c r="D1127" s="8"/>
      <c r="E1127" s="9"/>
      <c r="F1127" s="19"/>
      <c r="G1127" s="19"/>
      <c r="H1127" s="19"/>
      <c r="J1127" s="45"/>
      <c r="K1127" s="45"/>
      <c r="L1127" s="45"/>
      <c r="M1127" s="43"/>
      <c r="O1127" s="12">
        <f t="shared" si="123"/>
        <v>92.833333333333329</v>
      </c>
      <c r="P1127" s="13">
        <v>1114</v>
      </c>
      <c r="Q1127" s="22">
        <v>2.7505429930636316E-2</v>
      </c>
      <c r="R1127" s="19">
        <f t="shared" si="124"/>
        <v>2.8297117870530242E-2</v>
      </c>
      <c r="S1127" s="22">
        <v>3.8902348009568932E-2</v>
      </c>
      <c r="T1127" s="19">
        <f t="shared" si="125"/>
        <v>4.2998574962972436E-2</v>
      </c>
      <c r="U1127" s="24">
        <v>4.0239013901407938E-2</v>
      </c>
      <c r="V1127" s="24">
        <f t="shared" si="126"/>
        <v>4.2998098362903914E-2</v>
      </c>
      <c r="W1127" s="23">
        <f t="shared" si="127"/>
        <v>3.5144390744989984E-3</v>
      </c>
      <c r="X1127" s="24">
        <v>3.9969708861393727E-2</v>
      </c>
      <c r="Y1127" s="24">
        <f t="shared" si="128"/>
        <v>4.299822180901236E-2</v>
      </c>
      <c r="Z1127" s="23">
        <f t="shared" si="129"/>
        <v>3.5144490476259893E-3</v>
      </c>
      <c r="AA1127" s="36"/>
    </row>
    <row r="1128" spans="4:27" ht="13.9" customHeight="1">
      <c r="D1128" s="8"/>
      <c r="E1128" s="9"/>
      <c r="F1128" s="19"/>
      <c r="G1128" s="19"/>
      <c r="H1128" s="19"/>
      <c r="J1128" s="45"/>
      <c r="K1128" s="45"/>
      <c r="L1128" s="45"/>
      <c r="M1128" s="43"/>
      <c r="O1128" s="12">
        <f t="shared" si="123"/>
        <v>92.916666666666671</v>
      </c>
      <c r="P1128" s="13">
        <v>1115</v>
      </c>
      <c r="Q1128" s="22">
        <v>2.7506139691509723E-2</v>
      </c>
      <c r="R1128" s="19">
        <f t="shared" si="124"/>
        <v>2.8297473876778723E-2</v>
      </c>
      <c r="S1128" s="22">
        <v>3.8906014538667932E-2</v>
      </c>
      <c r="T1128" s="19">
        <f t="shared" si="125"/>
        <v>4.2998590233733536E-2</v>
      </c>
      <c r="U1128" s="24">
        <v>4.0241485143698741E-2</v>
      </c>
      <c r="V1128" s="24">
        <f t="shared" si="126"/>
        <v>4.2998117364684063E-2</v>
      </c>
      <c r="W1128" s="23">
        <f t="shared" si="127"/>
        <v>3.5144406134079986E-3</v>
      </c>
      <c r="X1128" s="24">
        <v>3.9972421072821618E-2</v>
      </c>
      <c r="Y1128" s="24">
        <f t="shared" si="128"/>
        <v>4.2998239876782751E-2</v>
      </c>
      <c r="Z1128" s="23">
        <f t="shared" si="129"/>
        <v>3.5144505111526225E-3</v>
      </c>
      <c r="AA1128" s="36"/>
    </row>
    <row r="1129" spans="4:27" ht="13.9" customHeight="1">
      <c r="D1129" s="8"/>
      <c r="E1129" s="9"/>
      <c r="F1129" s="19"/>
      <c r="G1129" s="19"/>
      <c r="H1129" s="19"/>
      <c r="J1129" s="45"/>
      <c r="K1129" s="45"/>
      <c r="L1129" s="45"/>
      <c r="M1129" s="43"/>
      <c r="O1129" s="12">
        <f t="shared" si="123"/>
        <v>93</v>
      </c>
      <c r="P1129" s="13">
        <v>1116</v>
      </c>
      <c r="Q1129" s="22">
        <v>2.7506848499656122E-2</v>
      </c>
      <c r="R1129" s="19">
        <f t="shared" si="124"/>
        <v>2.8297826926177549E-2</v>
      </c>
      <c r="S1129" s="22">
        <v>3.8909674523461391E-2</v>
      </c>
      <c r="T1129" s="19">
        <f t="shared" si="125"/>
        <v>4.2998605341104001E-2</v>
      </c>
      <c r="U1129" s="24">
        <v>4.0243951980076575E-2</v>
      </c>
      <c r="V1129" s="24">
        <f t="shared" si="126"/>
        <v>4.2998136176505497E-2</v>
      </c>
      <c r="W1129" s="23">
        <f t="shared" si="127"/>
        <v>3.514442136945517E-3</v>
      </c>
      <c r="X1129" s="24">
        <v>3.9975128446852803E-2</v>
      </c>
      <c r="Y1129" s="24">
        <f t="shared" si="128"/>
        <v>4.2998257760749059E-2</v>
      </c>
      <c r="Z1129" s="23">
        <f t="shared" si="129"/>
        <v>3.5144519598022672E-3</v>
      </c>
      <c r="AA1129" s="36"/>
    </row>
    <row r="1130" spans="4:27" ht="13.9" customHeight="1">
      <c r="D1130" s="8"/>
      <c r="E1130" s="9"/>
      <c r="F1130" s="19"/>
      <c r="G1130" s="19"/>
      <c r="H1130" s="19"/>
      <c r="J1130" s="45"/>
      <c r="K1130" s="45"/>
      <c r="L1130" s="45"/>
      <c r="M1130" s="43"/>
      <c r="O1130" s="12">
        <f t="shared" si="123"/>
        <v>93.083333333333329</v>
      </c>
      <c r="P1130" s="13">
        <v>1117</v>
      </c>
      <c r="Q1130" s="22">
        <v>2.750755635498825E-2</v>
      </c>
      <c r="R1130" s="19">
        <f t="shared" si="124"/>
        <v>2.829817704304971E-2</v>
      </c>
      <c r="S1130" s="22">
        <v>3.8913327981345613E-2</v>
      </c>
      <c r="T1130" s="19">
        <f t="shared" si="125"/>
        <v>4.2998620286579525E-2</v>
      </c>
      <c r="U1130" s="24">
        <v>4.024641442218968E-2</v>
      </c>
      <c r="V1130" s="24">
        <f t="shared" si="126"/>
        <v>4.2998154800376609E-2</v>
      </c>
      <c r="W1130" s="23">
        <f t="shared" si="127"/>
        <v>3.5144436452523298E-3</v>
      </c>
      <c r="X1130" s="24">
        <v>3.9977830996296371E-2</v>
      </c>
      <c r="Y1130" s="24">
        <f t="shared" si="128"/>
        <v>4.2998275463453695E-2</v>
      </c>
      <c r="Z1130" s="23">
        <f t="shared" si="129"/>
        <v>3.5144533937148115E-3</v>
      </c>
      <c r="AA1130" s="36"/>
    </row>
    <row r="1131" spans="4:27" ht="13.9" customHeight="1">
      <c r="D1131" s="8"/>
      <c r="E1131" s="9"/>
      <c r="F1131" s="19"/>
      <c r="G1131" s="19"/>
      <c r="H1131" s="19"/>
      <c r="J1131" s="45"/>
      <c r="K1131" s="45"/>
      <c r="L1131" s="45"/>
      <c r="M1131" s="43"/>
      <c r="O1131" s="12">
        <f t="shared" si="123"/>
        <v>93.166666666666671</v>
      </c>
      <c r="P1131" s="13">
        <v>1118</v>
      </c>
      <c r="Q1131" s="22">
        <v>2.7508263257441268E-2</v>
      </c>
      <c r="R1131" s="19">
        <f t="shared" si="124"/>
        <v>2.8298524253012269E-2</v>
      </c>
      <c r="S1131" s="22">
        <v>3.8916974929656067E-2</v>
      </c>
      <c r="T1131" s="19">
        <f t="shared" si="125"/>
        <v>4.2998635071721969E-2</v>
      </c>
      <c r="U1131" s="24">
        <v>4.0248872481646103E-2</v>
      </c>
      <c r="V1131" s="24">
        <f t="shared" si="126"/>
        <v>4.2998173238324222E-2</v>
      </c>
      <c r="W1131" s="23">
        <f t="shared" si="127"/>
        <v>3.5144451384896414E-3</v>
      </c>
      <c r="X1131" s="24">
        <v>3.998052873391833E-2</v>
      </c>
      <c r="Y1131" s="24">
        <f t="shared" si="128"/>
        <v>4.2998292985664932E-2</v>
      </c>
      <c r="Z1131" s="23">
        <f t="shared" si="129"/>
        <v>3.5144548130938702E-3</v>
      </c>
      <c r="AA1131" s="36"/>
    </row>
    <row r="1132" spans="4:27" ht="13.9" customHeight="1">
      <c r="D1132" s="8"/>
      <c r="E1132" s="9"/>
      <c r="F1132" s="19"/>
      <c r="G1132" s="19"/>
      <c r="H1132" s="19"/>
      <c r="J1132" s="45"/>
      <c r="K1132" s="45"/>
      <c r="L1132" s="45"/>
      <c r="M1132" s="43"/>
      <c r="O1132" s="12">
        <f t="shared" si="123"/>
        <v>93.25</v>
      </c>
      <c r="P1132" s="13">
        <v>1119</v>
      </c>
      <c r="Q1132" s="22">
        <v>2.7508969206972989E-2</v>
      </c>
      <c r="R1132" s="19">
        <f t="shared" si="124"/>
        <v>2.8298868578501057E-2</v>
      </c>
      <c r="S1132" s="22">
        <v>3.8920615385667823E-2</v>
      </c>
      <c r="T1132" s="19">
        <f t="shared" si="125"/>
        <v>4.2998649698343661E-2</v>
      </c>
      <c r="U1132" s="24">
        <v>4.025132617001459E-2</v>
      </c>
      <c r="V1132" s="24">
        <f t="shared" si="126"/>
        <v>4.2998191491426807E-2</v>
      </c>
      <c r="W1132" s="23">
        <f t="shared" si="127"/>
        <v>3.5144466168197663E-3</v>
      </c>
      <c r="X1132" s="24">
        <v>3.9983221672439395E-2</v>
      </c>
      <c r="Y1132" s="24">
        <f t="shared" si="128"/>
        <v>4.2998310330060185E-2</v>
      </c>
      <c r="Z1132" s="23">
        <f t="shared" si="129"/>
        <v>3.5144562180013939E-3</v>
      </c>
      <c r="AA1132" s="36"/>
    </row>
    <row r="1133" spans="4:27" ht="13.9" customHeight="1">
      <c r="D1133" s="8"/>
      <c r="E1133" s="9"/>
      <c r="F1133" s="19"/>
      <c r="G1133" s="19"/>
      <c r="H1133" s="19"/>
      <c r="J1133" s="45"/>
      <c r="K1133" s="45"/>
      <c r="L1133" s="45"/>
      <c r="M1133" s="43"/>
      <c r="O1133" s="12">
        <f t="shared" si="123"/>
        <v>93.333333333333329</v>
      </c>
      <c r="P1133" s="13">
        <v>1120</v>
      </c>
      <c r="Q1133" s="22">
        <v>2.7509674203562096E-2</v>
      </c>
      <c r="R1133" s="19">
        <f t="shared" si="124"/>
        <v>2.8299210044824941E-2</v>
      </c>
      <c r="S1133" s="22">
        <v>3.892424936659622E-2</v>
      </c>
      <c r="T1133" s="19">
        <f t="shared" si="125"/>
        <v>4.2998664168479639E-2</v>
      </c>
      <c r="U1133" s="24">
        <v>4.0253775498823474E-2</v>
      </c>
      <c r="V1133" s="24">
        <f t="shared" si="126"/>
        <v>4.2998209562723044E-2</v>
      </c>
      <c r="W1133" s="23">
        <f t="shared" si="127"/>
        <v>3.5144480803290801E-3</v>
      </c>
      <c r="X1133" s="24">
        <v>3.9985909824537424E-2</v>
      </c>
      <c r="Y1133" s="24">
        <f t="shared" si="128"/>
        <v>4.2998327498649846E-2</v>
      </c>
      <c r="Z1133" s="23">
        <f t="shared" si="129"/>
        <v>3.5144576086516555E-3</v>
      </c>
      <c r="AA1133" s="36"/>
    </row>
    <row r="1134" spans="4:27" ht="13.9" customHeight="1">
      <c r="D1134" s="8"/>
      <c r="E1134" s="9"/>
      <c r="F1134" s="19"/>
      <c r="G1134" s="19"/>
      <c r="H1134" s="19"/>
      <c r="J1134" s="45"/>
      <c r="K1134" s="45"/>
      <c r="L1134" s="45"/>
      <c r="M1134" s="43"/>
      <c r="O1134" s="12">
        <f t="shared" si="123"/>
        <v>93.416666666666671</v>
      </c>
      <c r="P1134" s="13">
        <v>1121</v>
      </c>
      <c r="Q1134" s="22">
        <v>2.7510378247209033E-2</v>
      </c>
      <c r="R1134" s="19">
        <f t="shared" si="124"/>
        <v>2.8299548675153607E-2</v>
      </c>
      <c r="S1134" s="22">
        <v>3.8927876889596646E-2</v>
      </c>
      <c r="T1134" s="19">
        <f t="shared" si="125"/>
        <v>4.29986784834544E-2</v>
      </c>
      <c r="U1134" s="24">
        <v>4.0256220479562455E-2</v>
      </c>
      <c r="V1134" s="24">
        <f t="shared" si="126"/>
        <v>4.2998227453269866E-2</v>
      </c>
      <c r="W1134" s="23">
        <f t="shared" si="127"/>
        <v>3.5144495292616096E-3</v>
      </c>
      <c r="X1134" s="24">
        <v>3.9988593202846978E-2</v>
      </c>
      <c r="Y1134" s="24">
        <f t="shared" si="128"/>
        <v>4.2998344492336082E-2</v>
      </c>
      <c r="Z1134" s="23">
        <f t="shared" si="129"/>
        <v>3.5144589852063035E-3</v>
      </c>
      <c r="AA1134" s="36"/>
    </row>
    <row r="1135" spans="4:27" ht="13.9" customHeight="1">
      <c r="D1135" s="8"/>
      <c r="E1135" s="9"/>
      <c r="F1135" s="19"/>
      <c r="G1135" s="19"/>
      <c r="H1135" s="19"/>
      <c r="J1135" s="45"/>
      <c r="K1135" s="45"/>
      <c r="L1135" s="45"/>
      <c r="M1135" s="43"/>
      <c r="O1135" s="12">
        <f t="shared" si="123"/>
        <v>93.5</v>
      </c>
      <c r="P1135" s="13">
        <v>1122</v>
      </c>
      <c r="Q1135" s="22">
        <v>2.7511081337935561E-2</v>
      </c>
      <c r="R1135" s="19">
        <f t="shared" si="124"/>
        <v>2.8299884493559802E-2</v>
      </c>
      <c r="S1135" s="22">
        <v>3.8931497971764983E-2</v>
      </c>
      <c r="T1135" s="19">
        <f t="shared" si="125"/>
        <v>4.299869264507894E-2</v>
      </c>
      <c r="U1135" s="24">
        <v>4.0258661123681705E-2</v>
      </c>
      <c r="V1135" s="24">
        <f t="shared" si="126"/>
        <v>4.2998245164964199E-2</v>
      </c>
      <c r="W1135" s="23">
        <f t="shared" si="127"/>
        <v>3.5144509637017318E-3</v>
      </c>
      <c r="X1135" s="24">
        <v>3.9991271819958429E-2</v>
      </c>
      <c r="Y1135" s="24">
        <f t="shared" si="128"/>
        <v>4.2998361313573819E-2</v>
      </c>
      <c r="Z1135" s="23">
        <f t="shared" si="129"/>
        <v>3.5144603477370584E-3</v>
      </c>
      <c r="AA1135" s="36"/>
    </row>
    <row r="1136" spans="4:27" ht="13.9" customHeight="1">
      <c r="D1136" s="8"/>
      <c r="E1136" s="9"/>
      <c r="F1136" s="19"/>
      <c r="G1136" s="19"/>
      <c r="H1136" s="19"/>
      <c r="J1136" s="45"/>
      <c r="K1136" s="45"/>
      <c r="L1136" s="45"/>
      <c r="M1136" s="43"/>
      <c r="O1136" s="12">
        <f t="shared" si="123"/>
        <v>93.583333333333329</v>
      </c>
      <c r="P1136" s="13">
        <v>1123</v>
      </c>
      <c r="Q1136" s="22">
        <v>2.7511783475784535E-2</v>
      </c>
      <c r="R1136" s="19">
        <f t="shared" si="124"/>
        <v>2.8300217522538196E-2</v>
      </c>
      <c r="S1136" s="22">
        <v>3.8935112630137603E-2</v>
      </c>
      <c r="T1136" s="19">
        <f t="shared" si="125"/>
        <v>4.2998706654920893E-2</v>
      </c>
      <c r="U1136" s="24">
        <v>4.0261097442591876E-2</v>
      </c>
      <c r="V1136" s="24">
        <f t="shared" si="126"/>
        <v>4.299826269996343E-2</v>
      </c>
      <c r="W1136" s="23">
        <f t="shared" si="127"/>
        <v>3.5144523838015473E-3</v>
      </c>
      <c r="X1136" s="24">
        <v>3.9993945688419297E-2</v>
      </c>
      <c r="Y1136" s="24">
        <f t="shared" si="128"/>
        <v>4.2998377963697987E-2</v>
      </c>
      <c r="Z1136" s="23">
        <f t="shared" si="129"/>
        <v>3.5144616964413178E-3</v>
      </c>
      <c r="AA1136" s="36"/>
    </row>
    <row r="1137" spans="4:27" ht="13.9" customHeight="1">
      <c r="D1137" s="8"/>
      <c r="E1137" s="9"/>
      <c r="F1137" s="19"/>
      <c r="G1137" s="19"/>
      <c r="H1137" s="19"/>
      <c r="J1137" s="45"/>
      <c r="K1137" s="45"/>
      <c r="L1137" s="45"/>
      <c r="M1137" s="43"/>
      <c r="O1137" s="12">
        <f t="shared" si="123"/>
        <v>93.666666666666671</v>
      </c>
      <c r="P1137" s="13">
        <v>1124</v>
      </c>
      <c r="Q1137" s="22">
        <v>2.751248466081857E-2</v>
      </c>
      <c r="R1137" s="19">
        <f t="shared" si="124"/>
        <v>2.8300547786115793E-2</v>
      </c>
      <c r="S1137" s="22">
        <v>3.8938720881692257E-2</v>
      </c>
      <c r="T1137" s="19">
        <f t="shared" si="125"/>
        <v>4.2998720514631827E-2</v>
      </c>
      <c r="U1137" s="24">
        <v>4.0263529447665425E-2</v>
      </c>
      <c r="V1137" s="24">
        <f t="shared" si="126"/>
        <v>4.2998280059484806E-2</v>
      </c>
      <c r="W1137" s="23">
        <f t="shared" si="127"/>
        <v>3.514453789734473E-3</v>
      </c>
      <c r="X1137" s="24">
        <v>3.9996614820734244E-2</v>
      </c>
      <c r="Y1137" s="24">
        <f t="shared" si="128"/>
        <v>4.2998394444629717E-2</v>
      </c>
      <c r="Z1137" s="23">
        <f t="shared" si="129"/>
        <v>3.5144630314258851E-3</v>
      </c>
      <c r="AA1137" s="36"/>
    </row>
    <row r="1138" spans="4:27" ht="13.9" customHeight="1">
      <c r="D1138" s="8"/>
      <c r="E1138" s="9"/>
      <c r="F1138" s="19"/>
      <c r="G1138" s="19"/>
      <c r="H1138" s="19"/>
      <c r="J1138" s="45"/>
      <c r="K1138" s="45"/>
      <c r="L1138" s="45"/>
      <c r="M1138" s="43"/>
      <c r="O1138" s="12">
        <f t="shared" si="123"/>
        <v>93.75</v>
      </c>
      <c r="P1138" s="13">
        <v>1125</v>
      </c>
      <c r="Q1138" s="22">
        <v>2.7513184893121601E-2</v>
      </c>
      <c r="R1138" s="19">
        <f t="shared" si="124"/>
        <v>2.8300875306647599E-2</v>
      </c>
      <c r="S1138" s="22">
        <v>3.8942322743347413E-2</v>
      </c>
      <c r="T1138" s="19">
        <f t="shared" si="125"/>
        <v>4.2998734225431656E-2</v>
      </c>
      <c r="U1138" s="24">
        <v>4.0265957150235288E-2</v>
      </c>
      <c r="V1138" s="24">
        <f t="shared" si="126"/>
        <v>4.2998297245341544E-2</v>
      </c>
      <c r="W1138" s="23">
        <f t="shared" si="127"/>
        <v>3.5144551815975422E-3</v>
      </c>
      <c r="X1138" s="24">
        <v>3.9999279229364637E-2</v>
      </c>
      <c r="Y1138" s="24">
        <f t="shared" si="128"/>
        <v>4.299841075863009E-2</v>
      </c>
      <c r="Z1138" s="23">
        <f t="shared" si="129"/>
        <v>3.5144643528448594E-3</v>
      </c>
      <c r="AA1138" s="36"/>
    </row>
    <row r="1139" spans="4:27" ht="13.9" customHeight="1">
      <c r="D1139" s="8"/>
      <c r="E1139" s="9"/>
      <c r="F1139" s="19"/>
      <c r="G1139" s="19"/>
      <c r="H1139" s="19"/>
      <c r="J1139" s="45"/>
      <c r="K1139" s="45"/>
      <c r="L1139" s="45"/>
      <c r="M1139" s="43"/>
      <c r="O1139" s="12">
        <f t="shared" si="123"/>
        <v>93.833333333333329</v>
      </c>
      <c r="P1139" s="13">
        <v>1126</v>
      </c>
      <c r="Q1139" s="22">
        <v>2.7513884172796876E-2</v>
      </c>
      <c r="R1139" s="19">
        <f t="shared" si="124"/>
        <v>2.8301200107631264E-2</v>
      </c>
      <c r="S1139" s="22">
        <v>3.8945918231962917E-2</v>
      </c>
      <c r="T1139" s="19">
        <f t="shared" si="125"/>
        <v>4.2998747789872782E-2</v>
      </c>
      <c r="U1139" s="24">
        <v>4.0268380561595762E-2</v>
      </c>
      <c r="V1139" s="24">
        <f t="shared" si="126"/>
        <v>4.2998314260007442E-2</v>
      </c>
      <c r="W1139" s="23">
        <f t="shared" si="127"/>
        <v>3.5144565595366384E-3</v>
      </c>
      <c r="X1139" s="24">
        <v>4.0001938926729874E-2</v>
      </c>
      <c r="Y1139" s="24">
        <f t="shared" si="128"/>
        <v>4.2998426905948683E-2</v>
      </c>
      <c r="Z1139" s="23">
        <f t="shared" si="129"/>
        <v>3.5144656608794289E-3</v>
      </c>
      <c r="AA1139" s="36"/>
    </row>
    <row r="1140" spans="4:27" ht="13.9" customHeight="1">
      <c r="D1140" s="8"/>
      <c r="E1140" s="9"/>
      <c r="F1140" s="19"/>
      <c r="G1140" s="19"/>
      <c r="H1140" s="19"/>
      <c r="J1140" s="45"/>
      <c r="K1140" s="45"/>
      <c r="L1140" s="45"/>
      <c r="M1140" s="43"/>
      <c r="O1140" s="12">
        <f t="shared" si="123"/>
        <v>93.916666666666671</v>
      </c>
      <c r="P1140" s="13">
        <v>1127</v>
      </c>
      <c r="Q1140" s="22">
        <v>2.7514582499968299E-2</v>
      </c>
      <c r="R1140" s="19">
        <f t="shared" si="124"/>
        <v>2.8301522211003016E-2</v>
      </c>
      <c r="S1140" s="22">
        <v>3.8949507364341107E-2</v>
      </c>
      <c r="T1140" s="19">
        <f t="shared" si="125"/>
        <v>4.2998761208805414E-2</v>
      </c>
      <c r="U1140" s="24">
        <v>4.0270799693003401E-2</v>
      </c>
      <c r="V1140" s="24">
        <f t="shared" si="126"/>
        <v>4.2998331104300069E-2</v>
      </c>
      <c r="W1140" s="23">
        <f t="shared" si="127"/>
        <v>3.5144579237496032E-3</v>
      </c>
      <c r="X1140" s="24">
        <v>4.0004593925205834E-2</v>
      </c>
      <c r="Y1140" s="24">
        <f t="shared" si="128"/>
        <v>4.2998442889949473E-2</v>
      </c>
      <c r="Z1140" s="23">
        <f t="shared" si="129"/>
        <v>3.5144669555495778E-3</v>
      </c>
      <c r="AA1140" s="36"/>
    </row>
    <row r="1141" spans="4:27" ht="13.9" customHeight="1">
      <c r="D1141" s="8"/>
      <c r="E1141" s="9"/>
      <c r="F1141" s="19"/>
      <c r="G1141" s="19"/>
      <c r="H1141" s="19"/>
      <c r="J1141" s="45"/>
      <c r="K1141" s="45"/>
      <c r="L1141" s="45"/>
      <c r="M1141" s="43"/>
      <c r="O1141" s="12">
        <f t="shared" si="123"/>
        <v>94</v>
      </c>
      <c r="P1141" s="13">
        <v>1128</v>
      </c>
      <c r="Q1141" s="22">
        <v>2.7515279874778642E-2</v>
      </c>
      <c r="R1141" s="19">
        <f t="shared" si="124"/>
        <v>2.8301841639568837E-2</v>
      </c>
      <c r="S1141" s="22">
        <v>3.8953090157225478E-2</v>
      </c>
      <c r="T1141" s="19">
        <f t="shared" si="125"/>
        <v>4.2998774483949731E-2</v>
      </c>
      <c r="U1141" s="24">
        <v>4.0273214555675452E-2</v>
      </c>
      <c r="V1141" s="24">
        <f t="shared" si="126"/>
        <v>4.2998347780201396E-2</v>
      </c>
      <c r="W1141" s="23">
        <f t="shared" si="127"/>
        <v>3.5144592743023839E-3</v>
      </c>
      <c r="X1141" s="24">
        <v>4.0007244237127093E-2</v>
      </c>
      <c r="Y1141" s="24">
        <f t="shared" si="128"/>
        <v>4.2998458711305032E-2</v>
      </c>
      <c r="Z1141" s="23">
        <f t="shared" si="129"/>
        <v>3.5144682371250902E-3</v>
      </c>
      <c r="AA1141" s="36"/>
    </row>
    <row r="1142" spans="4:27" ht="13.9" customHeight="1">
      <c r="D1142" s="8"/>
      <c r="E1142" s="9"/>
      <c r="F1142" s="19"/>
      <c r="G1142" s="19"/>
      <c r="H1142" s="19"/>
      <c r="J1142" s="45"/>
      <c r="K1142" s="45"/>
      <c r="L1142" s="45"/>
      <c r="M1142" s="43"/>
      <c r="O1142" s="12">
        <f t="shared" si="123"/>
        <v>94.083333333333329</v>
      </c>
      <c r="P1142" s="13">
        <v>1129</v>
      </c>
      <c r="Q1142" s="22">
        <v>2.7515976297390443E-2</v>
      </c>
      <c r="R1142" s="19">
        <f t="shared" si="124"/>
        <v>2.8302158415010714E-2</v>
      </c>
      <c r="S1142" s="22">
        <v>3.8956666627301795E-2</v>
      </c>
      <c r="T1142" s="19">
        <f t="shared" si="125"/>
        <v>4.2998787616208345E-2</v>
      </c>
      <c r="U1142" s="24">
        <v>4.0275625160791417E-2</v>
      </c>
      <c r="V1142" s="24">
        <f t="shared" si="126"/>
        <v>4.2998364289610347E-2</v>
      </c>
      <c r="W1142" s="23">
        <f t="shared" si="127"/>
        <v>3.5144606113537424E-3</v>
      </c>
      <c r="X1142" s="24">
        <v>4.0009889874785376E-2</v>
      </c>
      <c r="Y1142" s="24">
        <f t="shared" si="128"/>
        <v>4.2998474371590323E-2</v>
      </c>
      <c r="Z1142" s="23">
        <f t="shared" si="129"/>
        <v>3.5144695056601449E-3</v>
      </c>
      <c r="AA1142" s="36"/>
    </row>
    <row r="1143" spans="4:27" ht="13.9" customHeight="1">
      <c r="D1143" s="8"/>
      <c r="E1143" s="9"/>
      <c r="F1143" s="19"/>
      <c r="G1143" s="19"/>
      <c r="H1143" s="19"/>
      <c r="J1143" s="45"/>
      <c r="K1143" s="45"/>
      <c r="L1143" s="45"/>
      <c r="M1143" s="43"/>
      <c r="O1143" s="12">
        <f t="shared" si="123"/>
        <v>94.166666666666671</v>
      </c>
      <c r="P1143" s="13">
        <v>1130</v>
      </c>
      <c r="Q1143" s="22">
        <v>2.751667176798489E-2</v>
      </c>
      <c r="R1143" s="19">
        <f t="shared" si="124"/>
        <v>2.8302472560135072E-2</v>
      </c>
      <c r="S1143" s="22">
        <v>3.8960236791198088E-2</v>
      </c>
      <c r="T1143" s="19">
        <f t="shared" si="125"/>
        <v>4.299880060863237E-2</v>
      </c>
      <c r="U1143" s="24">
        <v>4.027803151949283E-2</v>
      </c>
      <c r="V1143" s="24">
        <f t="shared" si="126"/>
        <v>4.2998380634100331E-2</v>
      </c>
      <c r="W1143" s="23">
        <f t="shared" si="127"/>
        <v>3.5144619350560014E-3</v>
      </c>
      <c r="X1143" s="24">
        <v>4.0012530850430439E-2</v>
      </c>
      <c r="Y1143" s="24">
        <f t="shared" si="128"/>
        <v>4.2998489873538936E-2</v>
      </c>
      <c r="Z1143" s="23">
        <f t="shared" si="129"/>
        <v>3.5144707612804194E-3</v>
      </c>
      <c r="AA1143" s="36"/>
    </row>
    <row r="1144" spans="4:27" ht="13.9" customHeight="1">
      <c r="D1144" s="8"/>
      <c r="E1144" s="9"/>
      <c r="F1144" s="19"/>
      <c r="G1144" s="19"/>
      <c r="H1144" s="19"/>
      <c r="J1144" s="45"/>
      <c r="K1144" s="45"/>
      <c r="L1144" s="45"/>
      <c r="M1144" s="43"/>
      <c r="O1144" s="12">
        <f t="shared" si="123"/>
        <v>94.25</v>
      </c>
      <c r="P1144" s="13">
        <v>1131</v>
      </c>
      <c r="Q1144" s="22">
        <v>2.7517366286762268E-2</v>
      </c>
      <c r="R1144" s="19">
        <f t="shared" si="124"/>
        <v>2.8302784096661426E-2</v>
      </c>
      <c r="S1144" s="22">
        <v>3.8963800665485993E-2</v>
      </c>
      <c r="T1144" s="19">
        <f t="shared" si="125"/>
        <v>4.2998813461366803E-2</v>
      </c>
      <c r="U1144" s="24">
        <v>4.0280433642883473E-2</v>
      </c>
      <c r="V1144" s="24">
        <f t="shared" si="126"/>
        <v>4.299839681524853E-2</v>
      </c>
      <c r="W1144" s="23">
        <f t="shared" si="127"/>
        <v>3.51446324553506E-3</v>
      </c>
      <c r="X1144" s="24">
        <v>4.001516717627096E-2</v>
      </c>
      <c r="Y1144" s="24">
        <f t="shared" si="128"/>
        <v>4.2998505216965022E-2</v>
      </c>
      <c r="Z1144" s="23">
        <f t="shared" si="129"/>
        <v>3.5144720042057376E-3</v>
      </c>
      <c r="AA1144" s="36"/>
    </row>
    <row r="1145" spans="4:27" ht="13.9" customHeight="1">
      <c r="D1145" s="8"/>
      <c r="E1145" s="9"/>
      <c r="F1145" s="19"/>
      <c r="G1145" s="19"/>
      <c r="H1145" s="19"/>
      <c r="J1145" s="45"/>
      <c r="K1145" s="45"/>
      <c r="L1145" s="45"/>
      <c r="M1145" s="43"/>
      <c r="O1145" s="12">
        <f t="shared" si="123"/>
        <v>94.333333333333329</v>
      </c>
      <c r="P1145" s="13">
        <v>1132</v>
      </c>
      <c r="Q1145" s="22">
        <v>2.7518059853941956E-2</v>
      </c>
      <c r="R1145" s="19">
        <f t="shared" si="124"/>
        <v>2.830309304586498E-2</v>
      </c>
      <c r="S1145" s="22">
        <v>3.8967358266678742E-2</v>
      </c>
      <c r="T1145" s="19">
        <f t="shared" si="125"/>
        <v>4.299882617668227E-2</v>
      </c>
      <c r="U1145" s="24">
        <v>4.0282831542028941E-2</v>
      </c>
      <c r="V1145" s="24">
        <f t="shared" si="126"/>
        <v>4.2998412835107302E-2</v>
      </c>
      <c r="W1145" s="23">
        <f t="shared" si="127"/>
        <v>3.5144645429177057E-3</v>
      </c>
      <c r="X1145" s="24">
        <v>4.0017798864472764E-2</v>
      </c>
      <c r="Y1145" s="24">
        <f t="shared" si="128"/>
        <v>4.2998520405644225E-2</v>
      </c>
      <c r="Z1145" s="23">
        <f t="shared" si="129"/>
        <v>3.5144732344207785E-3</v>
      </c>
      <c r="AA1145" s="36"/>
    </row>
    <row r="1146" spans="4:27" ht="13.9" customHeight="1">
      <c r="D1146" s="8"/>
      <c r="E1146" s="9"/>
      <c r="F1146" s="19"/>
      <c r="G1146" s="19"/>
      <c r="H1146" s="19"/>
      <c r="J1146" s="45"/>
      <c r="K1146" s="45"/>
      <c r="L1146" s="45"/>
      <c r="M1146" s="43"/>
      <c r="O1146" s="12">
        <f t="shared" si="123"/>
        <v>94.416666666666671</v>
      </c>
      <c r="P1146" s="13">
        <v>1133</v>
      </c>
      <c r="Q1146" s="22">
        <v>2.7518752469760877E-2</v>
      </c>
      <c r="R1146" s="19">
        <f t="shared" si="124"/>
        <v>2.830339942957294E-2</v>
      </c>
      <c r="S1146" s="22">
        <v>3.8970909611233839E-2</v>
      </c>
      <c r="T1146" s="19">
        <f t="shared" si="125"/>
        <v>4.2998838755540447E-2</v>
      </c>
      <c r="U1146" s="24">
        <v>4.0285225227957966E-2</v>
      </c>
      <c r="V1146" s="24">
        <f t="shared" si="126"/>
        <v>4.2998428694010382E-2</v>
      </c>
      <c r="W1146" s="23">
        <f t="shared" si="127"/>
        <v>3.5144658273684737E-3</v>
      </c>
      <c r="X1146" s="24">
        <v>4.0020425927161707E-2</v>
      </c>
      <c r="Y1146" s="24">
        <f t="shared" si="128"/>
        <v>4.2998535439004115E-2</v>
      </c>
      <c r="Z1146" s="23">
        <f t="shared" si="129"/>
        <v>3.5144744522286331E-3</v>
      </c>
      <c r="AA1146" s="36"/>
    </row>
    <row r="1147" spans="4:27" ht="13.9" customHeight="1">
      <c r="D1147" s="8"/>
      <c r="E1147" s="9"/>
      <c r="F1147" s="19"/>
      <c r="G1147" s="19"/>
      <c r="H1147" s="19"/>
      <c r="J1147" s="45"/>
      <c r="K1147" s="45"/>
      <c r="L1147" s="45"/>
      <c r="M1147" s="43"/>
      <c r="O1147" s="12">
        <f t="shared" si="123"/>
        <v>94.5</v>
      </c>
      <c r="P1147" s="13">
        <v>1134</v>
      </c>
      <c r="Q1147" s="22">
        <v>2.751944413447438E-2</v>
      </c>
      <c r="R1147" s="19">
        <f t="shared" si="124"/>
        <v>2.8303703268431013E-2</v>
      </c>
      <c r="S1147" s="22">
        <v>3.8974454715551055E-2</v>
      </c>
      <c r="T1147" s="19">
        <f t="shared" si="125"/>
        <v>4.2998851199310684E-2</v>
      </c>
      <c r="U1147" s="24">
        <v>4.0287614711660646E-2</v>
      </c>
      <c r="V1147" s="24">
        <f t="shared" si="126"/>
        <v>4.2998444394878099E-2</v>
      </c>
      <c r="W1147" s="23">
        <f t="shared" si="127"/>
        <v>3.5144670989140092E-3</v>
      </c>
      <c r="X1147" s="24">
        <v>4.0023048376420567E-2</v>
      </c>
      <c r="Y1147" s="24">
        <f t="shared" si="128"/>
        <v>4.2998550320063167E-2</v>
      </c>
      <c r="Z1147" s="23">
        <f t="shared" si="129"/>
        <v>3.5144756575828939E-3</v>
      </c>
      <c r="AA1147" s="36"/>
    </row>
    <row r="1148" spans="4:27" ht="13.9" customHeight="1">
      <c r="D1148" s="8"/>
      <c r="E1148" s="9"/>
      <c r="F1148" s="19"/>
      <c r="G1148" s="19"/>
      <c r="H1148" s="19"/>
      <c r="J1148" s="45"/>
      <c r="K1148" s="45"/>
      <c r="L1148" s="45"/>
      <c r="M1148" s="43"/>
      <c r="O1148" s="12">
        <f t="shared" si="123"/>
        <v>94.583333333333329</v>
      </c>
      <c r="P1148" s="13">
        <v>1135</v>
      </c>
      <c r="Q1148" s="22">
        <v>2.752013484835536E-2</v>
      </c>
      <c r="R1148" s="19">
        <f t="shared" si="124"/>
        <v>2.8304004584830178E-2</v>
      </c>
      <c r="S1148" s="22">
        <v>3.8977993595974425E-2</v>
      </c>
      <c r="T1148" s="19">
        <f t="shared" si="125"/>
        <v>4.2998863510199881E-2</v>
      </c>
      <c r="U1148" s="24">
        <v>4.0290000004090665E-2</v>
      </c>
      <c r="V1148" s="24">
        <f t="shared" si="126"/>
        <v>4.2998459939057376E-2</v>
      </c>
      <c r="W1148" s="23">
        <f t="shared" si="127"/>
        <v>3.5144683577883473E-3</v>
      </c>
      <c r="X1148" s="24">
        <v>4.0025666224292156E-2</v>
      </c>
      <c r="Y1148" s="24">
        <f t="shared" si="128"/>
        <v>4.2998565049543469E-2</v>
      </c>
      <c r="Z1148" s="23">
        <f t="shared" si="129"/>
        <v>3.5144768507260338E-3</v>
      </c>
      <c r="AA1148" s="36"/>
    </row>
    <row r="1149" spans="4:27" ht="13.9" customHeight="1">
      <c r="D1149" s="8"/>
      <c r="E1149" s="9"/>
      <c r="F1149" s="19"/>
      <c r="G1149" s="19"/>
      <c r="H1149" s="19"/>
      <c r="J1149" s="45"/>
      <c r="K1149" s="45"/>
      <c r="L1149" s="45"/>
      <c r="M1149" s="43"/>
      <c r="O1149" s="12">
        <f t="shared" si="123"/>
        <v>94.666666666666671</v>
      </c>
      <c r="P1149" s="13">
        <v>1136</v>
      </c>
      <c r="Q1149" s="22">
        <v>2.7520824611695138E-2</v>
      </c>
      <c r="R1149" s="19">
        <f t="shared" si="124"/>
        <v>2.8304303398638098E-2</v>
      </c>
      <c r="S1149" s="22">
        <v>3.8981526268791811E-2</v>
      </c>
      <c r="T1149" s="19">
        <f t="shared" si="125"/>
        <v>4.2998875688990079E-2</v>
      </c>
      <c r="U1149" s="24">
        <v>4.0292381116164844E-2</v>
      </c>
      <c r="V1149" s="24">
        <f t="shared" si="126"/>
        <v>4.2998475327600483E-2</v>
      </c>
      <c r="W1149" s="23">
        <f t="shared" si="127"/>
        <v>3.5144696040996237E-3</v>
      </c>
      <c r="X1149" s="24">
        <v>4.0028279482777984E-2</v>
      </c>
      <c r="Y1149" s="24">
        <f t="shared" si="128"/>
        <v>4.299857963003717E-2</v>
      </c>
      <c r="Z1149" s="23">
        <f t="shared" si="129"/>
        <v>3.5144780317157842E-3</v>
      </c>
      <c r="AA1149" s="36"/>
    </row>
    <row r="1150" spans="4:27" ht="13.9" customHeight="1">
      <c r="D1150" s="8"/>
      <c r="E1150" s="9"/>
      <c r="F1150" s="19"/>
      <c r="G1150" s="19"/>
      <c r="H1150" s="19"/>
      <c r="J1150" s="45"/>
      <c r="K1150" s="45"/>
      <c r="L1150" s="45"/>
      <c r="M1150" s="43"/>
      <c r="O1150" s="12">
        <f t="shared" si="123"/>
        <v>94.75</v>
      </c>
      <c r="P1150" s="13">
        <v>1137</v>
      </c>
      <c r="Q1150" s="22">
        <v>2.7521513424801691E-2</v>
      </c>
      <c r="R1150" s="19">
        <f t="shared" si="124"/>
        <v>2.8304599731239444E-2</v>
      </c>
      <c r="S1150" s="22">
        <v>3.8985052750234894E-2</v>
      </c>
      <c r="T1150" s="19">
        <f t="shared" si="125"/>
        <v>4.2998887737135449E-2</v>
      </c>
      <c r="U1150" s="24">
        <v>4.0294758058762259E-2</v>
      </c>
      <c r="V1150" s="24">
        <f t="shared" si="126"/>
        <v>4.2998490562609737E-2</v>
      </c>
      <c r="W1150" s="23">
        <f t="shared" si="127"/>
        <v>3.5144708379322154E-3</v>
      </c>
      <c r="X1150" s="24">
        <v>4.0030888163839151E-2</v>
      </c>
      <c r="Y1150" s="24">
        <f t="shared" si="128"/>
        <v>4.299859406162132E-2</v>
      </c>
      <c r="Z1150" s="23">
        <f t="shared" si="129"/>
        <v>3.514479200759979E-3</v>
      </c>
      <c r="AA1150" s="36"/>
    </row>
    <row r="1151" spans="4:27" ht="13.9" customHeight="1">
      <c r="D1151" s="8"/>
      <c r="E1151" s="9"/>
      <c r="F1151" s="19"/>
      <c r="G1151" s="19"/>
      <c r="H1151" s="19"/>
      <c r="J1151" s="45"/>
      <c r="K1151" s="45"/>
      <c r="L1151" s="45"/>
      <c r="M1151" s="43"/>
      <c r="O1151" s="12">
        <f t="shared" si="123"/>
        <v>94.833333333333329</v>
      </c>
      <c r="P1151" s="13">
        <v>1138</v>
      </c>
      <c r="Q1151" s="22">
        <v>2.7522201288000536E-2</v>
      </c>
      <c r="R1151" s="19">
        <f t="shared" si="124"/>
        <v>2.830489360305255E-2</v>
      </c>
      <c r="S1151" s="22">
        <v>3.8988573056479625E-2</v>
      </c>
      <c r="T1151" s="19">
        <f t="shared" si="125"/>
        <v>4.2998899656338851E-2</v>
      </c>
      <c r="U1151" s="24">
        <v>4.0297130842725792E-2</v>
      </c>
      <c r="V1151" s="24">
        <f t="shared" si="126"/>
        <v>4.2998505645349461E-2</v>
      </c>
      <c r="W1151" s="23">
        <f t="shared" si="127"/>
        <v>3.5144720594544321E-3</v>
      </c>
      <c r="X1151" s="24">
        <v>4.0033492279395233E-2</v>
      </c>
      <c r="Y1151" s="24">
        <f t="shared" si="128"/>
        <v>4.2998608347131873E-2</v>
      </c>
      <c r="Z1151" s="23">
        <f t="shared" si="129"/>
        <v>3.5144803578646133E-3</v>
      </c>
      <c r="AA1151" s="36"/>
    </row>
    <row r="1152" spans="4:27" ht="13.9" customHeight="1">
      <c r="D1152" s="8"/>
      <c r="E1152" s="9"/>
      <c r="F1152" s="19"/>
      <c r="G1152" s="19"/>
      <c r="H1152" s="19"/>
      <c r="J1152" s="45"/>
      <c r="K1152" s="45"/>
      <c r="L1152" s="45"/>
      <c r="M1152" s="43"/>
      <c r="O1152" s="12">
        <f t="shared" si="123"/>
        <v>94.916666666666671</v>
      </c>
      <c r="P1152" s="13">
        <v>1139</v>
      </c>
      <c r="Q1152" s="22">
        <v>2.7522888201634066E-2</v>
      </c>
      <c r="R1152" s="19">
        <f t="shared" si="124"/>
        <v>2.8305185034484426E-2</v>
      </c>
      <c r="S1152" s="22">
        <v>3.8992087203646886E-2</v>
      </c>
      <c r="T1152" s="19">
        <f t="shared" si="125"/>
        <v>4.2998911447735377E-2</v>
      </c>
      <c r="U1152" s="24">
        <v>4.0299499478861245E-2</v>
      </c>
      <c r="V1152" s="24">
        <f t="shared" si="126"/>
        <v>4.2998520577048227E-2</v>
      </c>
      <c r="W1152" s="23">
        <f t="shared" si="127"/>
        <v>3.5144732687681923E-3</v>
      </c>
      <c r="X1152" s="24">
        <v>4.003609184132606E-2</v>
      </c>
      <c r="Y1152" s="24">
        <f t="shared" si="128"/>
        <v>4.299862248737818E-2</v>
      </c>
      <c r="Z1152" s="23">
        <f t="shared" si="129"/>
        <v>3.514481503257505E-3</v>
      </c>
      <c r="AA1152" s="36"/>
    </row>
    <row r="1153" spans="4:27" ht="13.9" customHeight="1">
      <c r="D1153" s="8"/>
      <c r="E1153" s="9"/>
      <c r="F1153" s="19"/>
      <c r="G1153" s="19"/>
      <c r="H1153" s="19"/>
      <c r="J1153" s="45"/>
      <c r="K1153" s="45"/>
      <c r="L1153" s="45"/>
      <c r="M1153" s="43"/>
      <c r="O1153" s="12">
        <f t="shared" si="123"/>
        <v>95</v>
      </c>
      <c r="P1153" s="13">
        <v>1140</v>
      </c>
      <c r="Q1153" s="22">
        <v>2.7523574166061326E-2</v>
      </c>
      <c r="R1153" s="19">
        <f t="shared" si="124"/>
        <v>2.8305474045634327E-2</v>
      </c>
      <c r="S1153" s="22">
        <v>3.8995595207801825E-2</v>
      </c>
      <c r="T1153" s="19">
        <f t="shared" si="125"/>
        <v>4.29989231127057E-2</v>
      </c>
      <c r="U1153" s="24">
        <v>4.030186397793778E-2</v>
      </c>
      <c r="V1153" s="24">
        <f t="shared" si="126"/>
        <v>4.2998535360192047E-2</v>
      </c>
      <c r="W1153" s="23">
        <f t="shared" si="127"/>
        <v>3.5144744659714178E-3</v>
      </c>
      <c r="X1153" s="24">
        <v>4.0038686861471051E-2</v>
      </c>
      <c r="Y1153" s="24">
        <f t="shared" si="128"/>
        <v>4.2998636483699615E-2</v>
      </c>
      <c r="Z1153" s="23">
        <f t="shared" si="129"/>
        <v>3.5144826370030469E-3</v>
      </c>
      <c r="AA1153" s="36"/>
    </row>
    <row r="1154" spans="4:27" ht="13.9" customHeight="1">
      <c r="D1154" s="8"/>
      <c r="E1154" s="9"/>
      <c r="F1154" s="19"/>
      <c r="G1154" s="19"/>
      <c r="H1154" s="19"/>
      <c r="J1154" s="45"/>
      <c r="K1154" s="45"/>
      <c r="L1154" s="45"/>
      <c r="M1154" s="43"/>
      <c r="O1154" s="12">
        <f t="shared" si="123"/>
        <v>95.083333333333329</v>
      </c>
      <c r="P1154" s="13">
        <v>1141</v>
      </c>
      <c r="Q1154" s="22">
        <v>2.7524259181657573E-2</v>
      </c>
      <c r="R1154" s="19">
        <f t="shared" si="124"/>
        <v>2.8305760657293177E-2</v>
      </c>
      <c r="S1154" s="22">
        <v>3.8999097084954748E-2</v>
      </c>
      <c r="T1154" s="19">
        <f t="shared" si="125"/>
        <v>4.2998934653008636E-2</v>
      </c>
      <c r="U1154" s="24">
        <v>4.0304224350688811E-2</v>
      </c>
      <c r="V1154" s="24">
        <f t="shared" si="126"/>
        <v>4.2998549995076019E-2</v>
      </c>
      <c r="W1154" s="23">
        <f t="shared" si="127"/>
        <v>3.5144756512639486E-3</v>
      </c>
      <c r="X1154" s="24">
        <v>4.004127735162899E-2</v>
      </c>
      <c r="Y1154" s="24">
        <f t="shared" si="128"/>
        <v>4.2998650338276212E-2</v>
      </c>
      <c r="Z1154" s="23">
        <f t="shared" si="129"/>
        <v>3.5144837592091527E-3</v>
      </c>
      <c r="AA1154" s="36"/>
    </row>
    <row r="1155" spans="4:27" ht="13.9" customHeight="1">
      <c r="D1155" s="8"/>
      <c r="E1155" s="9"/>
      <c r="F1155" s="19"/>
      <c r="G1155" s="19"/>
      <c r="H1155" s="19"/>
      <c r="J1155" s="45"/>
      <c r="K1155" s="45"/>
      <c r="L1155" s="45"/>
      <c r="M1155" s="43"/>
      <c r="O1155" s="12">
        <f t="shared" si="123"/>
        <v>95.166666666666671</v>
      </c>
      <c r="P1155" s="13">
        <v>1142</v>
      </c>
      <c r="Q1155" s="22">
        <v>2.7524943248815159E-2</v>
      </c>
      <c r="R1155" s="19">
        <f t="shared" si="124"/>
        <v>2.8306044888542603E-2</v>
      </c>
      <c r="S1155" s="22">
        <v>3.9002592851061557E-2</v>
      </c>
      <c r="T1155" s="19">
        <f t="shared" si="125"/>
        <v>4.2998946069407129E-2</v>
      </c>
      <c r="U1155" s="24">
        <v>4.0306580607810893E-2</v>
      </c>
      <c r="V1155" s="24">
        <f t="shared" si="126"/>
        <v>4.2998564483746504E-2</v>
      </c>
      <c r="W1155" s="23">
        <f t="shared" si="127"/>
        <v>3.5144768246690994E-3</v>
      </c>
      <c r="X1155" s="24">
        <v>4.0043863323559359E-2</v>
      </c>
      <c r="Y1155" s="24">
        <f t="shared" si="128"/>
        <v>4.2998664051387969E-2</v>
      </c>
      <c r="Z1155" s="23">
        <f t="shared" si="129"/>
        <v>3.5144848700501274E-3</v>
      </c>
      <c r="AA1155" s="36"/>
    </row>
    <row r="1156" spans="4:27" ht="13.9" customHeight="1">
      <c r="D1156" s="8"/>
      <c r="E1156" s="9"/>
      <c r="F1156" s="19"/>
      <c r="G1156" s="19"/>
      <c r="H1156" s="19"/>
      <c r="J1156" s="45"/>
      <c r="K1156" s="45"/>
      <c r="L1156" s="45"/>
      <c r="M1156" s="43"/>
      <c r="O1156" s="12">
        <f t="shared" si="123"/>
        <v>95.25</v>
      </c>
      <c r="P1156" s="13">
        <v>1143</v>
      </c>
      <c r="Q1156" s="22">
        <v>2.7525626367941758E-2</v>
      </c>
      <c r="R1156" s="19">
        <f t="shared" si="124"/>
        <v>2.8306326759738099E-2</v>
      </c>
      <c r="S1156" s="22">
        <v>3.9006082522022867E-2</v>
      </c>
      <c r="T1156" s="19">
        <f t="shared" si="125"/>
        <v>4.2998957363246326E-2</v>
      </c>
      <c r="U1156" s="24">
        <v>4.0308932759964389E-2</v>
      </c>
      <c r="V1156" s="24">
        <f t="shared" si="126"/>
        <v>4.2998578827998735E-2</v>
      </c>
      <c r="W1156" s="23">
        <f t="shared" si="127"/>
        <v>3.5144779863509612E-3</v>
      </c>
      <c r="X1156" s="24">
        <v>4.0046444788981006E-2</v>
      </c>
      <c r="Y1156" s="24">
        <f t="shared" si="128"/>
        <v>4.2998677625759152E-2</v>
      </c>
      <c r="Z1156" s="23">
        <f t="shared" si="129"/>
        <v>3.5144859695486197E-3</v>
      </c>
      <c r="AA1156" s="36"/>
    </row>
    <row r="1157" spans="4:27" ht="13.9" customHeight="1">
      <c r="D1157" s="8"/>
      <c r="E1157" s="9"/>
      <c r="F1157" s="19"/>
      <c r="G1157" s="19"/>
      <c r="H1157" s="19"/>
      <c r="J1157" s="45"/>
      <c r="K1157" s="45"/>
      <c r="L1157" s="45"/>
      <c r="M1157" s="43"/>
      <c r="O1157" s="12">
        <f t="shared" si="123"/>
        <v>95.333333333333329</v>
      </c>
      <c r="P1157" s="13">
        <v>1144</v>
      </c>
      <c r="Q1157" s="22">
        <v>2.7526308539461031E-2</v>
      </c>
      <c r="R1157" s="19">
        <f t="shared" si="124"/>
        <v>2.830660629027637E-2</v>
      </c>
      <c r="S1157" s="22">
        <v>3.9009566113685334E-2</v>
      </c>
      <c r="T1157" s="19">
        <f t="shared" si="125"/>
        <v>4.2998968536023474E-2</v>
      </c>
      <c r="U1157" s="24">
        <v>4.0311280817774575E-2</v>
      </c>
      <c r="V1157" s="24">
        <f t="shared" si="126"/>
        <v>4.299859302833009E-2</v>
      </c>
      <c r="W1157" s="23">
        <f t="shared" si="127"/>
        <v>3.514479136453641E-3</v>
      </c>
      <c r="X1157" s="24">
        <v>4.0049021759573922E-2</v>
      </c>
      <c r="Y1157" s="24">
        <f t="shared" si="128"/>
        <v>4.2998691061566063E-2</v>
      </c>
      <c r="Z1157" s="23">
        <f t="shared" si="129"/>
        <v>3.5144870579231213E-3</v>
      </c>
      <c r="AA1157" s="36"/>
    </row>
    <row r="1158" spans="4:27" ht="13.9" customHeight="1">
      <c r="D1158" s="8"/>
      <c r="E1158" s="9"/>
      <c r="F1158" s="19"/>
      <c r="G1158" s="19"/>
      <c r="H1158" s="19"/>
      <c r="J1158" s="45"/>
      <c r="K1158" s="45"/>
      <c r="L1158" s="45"/>
      <c r="M1158" s="43"/>
      <c r="O1158" s="12">
        <f t="shared" si="123"/>
        <v>95.416666666666671</v>
      </c>
      <c r="P1158" s="13">
        <v>1145</v>
      </c>
      <c r="Q1158" s="22">
        <v>2.7526989763812404E-2</v>
      </c>
      <c r="R1158" s="19">
        <f t="shared" si="124"/>
        <v>2.8306883499958024E-2</v>
      </c>
      <c r="S1158" s="22">
        <v>3.9013043641841438E-2</v>
      </c>
      <c r="T1158" s="19">
        <f t="shared" si="125"/>
        <v>4.2998979589641939E-2</v>
      </c>
      <c r="U1158" s="24">
        <v>4.031362479182965E-2</v>
      </c>
      <c r="V1158" s="24">
        <f t="shared" si="126"/>
        <v>4.299860708747838E-2</v>
      </c>
      <c r="W1158" s="23">
        <f t="shared" si="127"/>
        <v>3.5144802750168846E-3</v>
      </c>
      <c r="X1158" s="24">
        <v>4.0051594246977684E-2</v>
      </c>
      <c r="Y1158" s="24">
        <f t="shared" si="128"/>
        <v>4.2998704361596918E-2</v>
      </c>
      <c r="Z1158" s="23">
        <f t="shared" si="129"/>
        <v>3.5144881351878432E-3</v>
      </c>
      <c r="AA1158" s="36"/>
    </row>
    <row r="1159" spans="4:27" ht="13.9" customHeight="1">
      <c r="D1159" s="8"/>
      <c r="E1159" s="9"/>
      <c r="F1159" s="19"/>
      <c r="G1159" s="19"/>
      <c r="H1159" s="19"/>
      <c r="J1159" s="45"/>
      <c r="K1159" s="45"/>
      <c r="L1159" s="45"/>
      <c r="M1159" s="43"/>
      <c r="O1159" s="12">
        <f t="shared" si="123"/>
        <v>95.5</v>
      </c>
      <c r="P1159" s="13">
        <v>1146</v>
      </c>
      <c r="Q1159" s="22">
        <v>2.7527670041451069E-2</v>
      </c>
      <c r="R1159" s="19">
        <f t="shared" si="124"/>
        <v>2.8307158407318234E-2</v>
      </c>
      <c r="S1159" s="22">
        <v>3.9016515122230144E-2</v>
      </c>
      <c r="T1159" s="19">
        <f t="shared" si="125"/>
        <v>4.2998990524519609E-2</v>
      </c>
      <c r="U1159" s="24">
        <v>4.0315964692683615E-2</v>
      </c>
      <c r="V1159" s="24">
        <f t="shared" si="126"/>
        <v>4.2998621005629234E-2</v>
      </c>
      <c r="W1159" s="23">
        <f t="shared" si="127"/>
        <v>3.5144814022600723E-3</v>
      </c>
      <c r="X1159" s="24">
        <v>4.005416226279368E-2</v>
      </c>
      <c r="Y1159" s="24">
        <f t="shared" si="128"/>
        <v>4.2998717526378849E-2</v>
      </c>
      <c r="Z1159" s="23">
        <f t="shared" si="129"/>
        <v>3.5144892015661622E-3</v>
      </c>
      <c r="AA1159" s="36"/>
    </row>
    <row r="1160" spans="4:27" ht="13.9" customHeight="1">
      <c r="D1160" s="8"/>
      <c r="E1160" s="9"/>
      <c r="F1160" s="19"/>
      <c r="G1160" s="19"/>
      <c r="H1160" s="19"/>
      <c r="J1160" s="45"/>
      <c r="K1160" s="45"/>
      <c r="L1160" s="45"/>
      <c r="M1160" s="43"/>
      <c r="O1160" s="12">
        <f t="shared" si="123"/>
        <v>95.583333333333329</v>
      </c>
      <c r="P1160" s="13">
        <v>1147</v>
      </c>
      <c r="Q1160" s="22">
        <v>2.752834937284665E-2</v>
      </c>
      <c r="R1160" s="19">
        <f t="shared" si="124"/>
        <v>2.8307431032094987E-2</v>
      </c>
      <c r="S1160" s="22">
        <v>3.9019980570536239E-2</v>
      </c>
      <c r="T1160" s="19">
        <f t="shared" si="125"/>
        <v>4.2999001342266974E-2</v>
      </c>
      <c r="U1160" s="24">
        <v>4.0318300530853612E-2</v>
      </c>
      <c r="V1160" s="24">
        <f t="shared" si="126"/>
        <v>4.2998634785483603E-2</v>
      </c>
      <c r="W1160" s="23">
        <f t="shared" si="127"/>
        <v>3.5144825181985251E-3</v>
      </c>
      <c r="X1160" s="24">
        <v>4.0056725818583327E-2</v>
      </c>
      <c r="Y1160" s="24">
        <f t="shared" si="128"/>
        <v>4.2998730557298082E-2</v>
      </c>
      <c r="Z1160" s="23">
        <f t="shared" si="129"/>
        <v>3.5144902571002667E-3</v>
      </c>
      <c r="AA1160" s="36"/>
    </row>
    <row r="1161" spans="4:27" ht="13.9" customHeight="1">
      <c r="D1161" s="8"/>
      <c r="E1161" s="9"/>
      <c r="F1161" s="19"/>
      <c r="G1161" s="19"/>
      <c r="H1161" s="19"/>
      <c r="J1161" s="45"/>
      <c r="K1161" s="45"/>
      <c r="L1161" s="45"/>
      <c r="M1161" s="43"/>
      <c r="O1161" s="12">
        <f t="shared" si="123"/>
        <v>95.666666666666671</v>
      </c>
      <c r="P1161" s="13">
        <v>1148</v>
      </c>
      <c r="Q1161" s="22">
        <v>2.7529027758484315E-2</v>
      </c>
      <c r="R1161" s="19">
        <f t="shared" si="124"/>
        <v>2.830770139275085E-2</v>
      </c>
      <c r="S1161" s="22">
        <v>3.9023440002391441E-2</v>
      </c>
      <c r="T1161" s="19">
        <f t="shared" si="125"/>
        <v>4.2999012043912765E-2</v>
      </c>
      <c r="U1161" s="24">
        <v>4.0320632316822591E-2</v>
      </c>
      <c r="V1161" s="24">
        <f t="shared" si="126"/>
        <v>4.2998648426501473E-2</v>
      </c>
      <c r="W1161" s="23">
        <f t="shared" si="127"/>
        <v>3.5144836230485144E-3</v>
      </c>
      <c r="X1161" s="24">
        <v>4.0059284925869187E-2</v>
      </c>
      <c r="Y1161" s="24">
        <f t="shared" si="128"/>
        <v>4.2998743455383126E-2</v>
      </c>
      <c r="Z1161" s="23">
        <f t="shared" si="129"/>
        <v>3.5144913019014012E-3</v>
      </c>
      <c r="AA1161" s="36"/>
    </row>
    <row r="1162" spans="4:27" ht="13.9" customHeight="1">
      <c r="D1162" s="8"/>
      <c r="E1162" s="9"/>
      <c r="F1162" s="19"/>
      <c r="G1162" s="19"/>
      <c r="H1162" s="19"/>
      <c r="J1162" s="45"/>
      <c r="K1162" s="45"/>
      <c r="L1162" s="45"/>
      <c r="M1162" s="43"/>
      <c r="O1162" s="12">
        <f t="shared" si="123"/>
        <v>95.75</v>
      </c>
      <c r="P1162" s="13">
        <v>1149</v>
      </c>
      <c r="Q1162" s="22">
        <v>2.7529705198863663E-2</v>
      </c>
      <c r="R1162" s="19">
        <f t="shared" si="124"/>
        <v>2.8307969509126396E-2</v>
      </c>
      <c r="S1162" s="22">
        <v>3.9026893433373733E-2</v>
      </c>
      <c r="T1162" s="19">
        <f t="shared" si="125"/>
        <v>4.2999022630833883E-2</v>
      </c>
      <c r="U1162" s="24">
        <v>4.0322960061036861E-2</v>
      </c>
      <c r="V1162" s="24">
        <f t="shared" si="126"/>
        <v>4.2998661931695992E-2</v>
      </c>
      <c r="W1162" s="23">
        <f t="shared" si="127"/>
        <v>3.5144847167667415E-3</v>
      </c>
      <c r="X1162" s="24">
        <v>4.0061839596134519E-2</v>
      </c>
      <c r="Y1162" s="24">
        <f t="shared" si="128"/>
        <v>4.2998756223053602E-2</v>
      </c>
      <c r="Z1162" s="23">
        <f t="shared" si="129"/>
        <v>3.5144923360521663E-3</v>
      </c>
      <c r="AA1162" s="36"/>
    </row>
    <row r="1163" spans="4:27" ht="13.9" customHeight="1">
      <c r="D1163" s="8"/>
      <c r="E1163" s="9"/>
      <c r="F1163" s="19"/>
      <c r="G1163" s="19"/>
      <c r="H1163" s="19"/>
      <c r="J1163" s="45"/>
      <c r="K1163" s="45"/>
      <c r="L1163" s="45"/>
      <c r="M1163" s="43"/>
      <c r="O1163" s="12">
        <f t="shared" si="123"/>
        <v>95.833333333333329</v>
      </c>
      <c r="P1163" s="13">
        <v>1150</v>
      </c>
      <c r="Q1163" s="22">
        <v>2.7530381694499617E-2</v>
      </c>
      <c r="R1163" s="19">
        <f t="shared" si="124"/>
        <v>2.8308235398907478E-2</v>
      </c>
      <c r="S1163" s="22">
        <v>3.9030340879008474E-2</v>
      </c>
      <c r="T1163" s="19">
        <f t="shared" si="125"/>
        <v>4.2999033104427653E-2</v>
      </c>
      <c r="U1163" s="24">
        <v>4.0325283773908538E-2</v>
      </c>
      <c r="V1163" s="24">
        <f t="shared" si="126"/>
        <v>4.2998675302033718E-2</v>
      </c>
      <c r="W1163" s="23">
        <f t="shared" si="127"/>
        <v>3.5144857995947909E-3</v>
      </c>
      <c r="X1163" s="24">
        <v>4.006438984082461E-2</v>
      </c>
      <c r="Y1163" s="24">
        <f t="shared" si="128"/>
        <v>4.2998768860297742E-2</v>
      </c>
      <c r="Z1163" s="23">
        <f t="shared" si="129"/>
        <v>3.5144933597466288E-3</v>
      </c>
      <c r="AA1163" s="36"/>
    </row>
    <row r="1164" spans="4:27" ht="13.9" customHeight="1">
      <c r="D1164" s="8"/>
      <c r="E1164" s="9"/>
      <c r="F1164" s="19"/>
      <c r="G1164" s="19"/>
      <c r="H1164" s="19"/>
      <c r="J1164" s="45"/>
      <c r="K1164" s="45"/>
      <c r="L1164" s="45"/>
      <c r="M1164" s="43"/>
      <c r="O1164" s="12">
        <f t="shared" si="123"/>
        <v>95.916666666666671</v>
      </c>
      <c r="P1164" s="13">
        <v>1151</v>
      </c>
      <c r="Q1164" s="22">
        <v>2.7531057245920865E-2</v>
      </c>
      <c r="R1164" s="19">
        <f t="shared" si="124"/>
        <v>2.8308499080385463E-2</v>
      </c>
      <c r="S1164" s="22">
        <v>3.9033782354768176E-2</v>
      </c>
      <c r="T1164" s="19">
        <f t="shared" si="125"/>
        <v>4.2999043465872022E-2</v>
      </c>
      <c r="U1164" s="24">
        <v>4.0327603465814876E-2</v>
      </c>
      <c r="V1164" s="24">
        <f t="shared" si="126"/>
        <v>4.2998688538659513E-2</v>
      </c>
      <c r="W1164" s="23">
        <f t="shared" si="127"/>
        <v>3.5144868716101563E-3</v>
      </c>
      <c r="X1164" s="24">
        <v>4.0066935671345449E-2</v>
      </c>
      <c r="Y1164" s="24">
        <f t="shared" si="128"/>
        <v>4.299878136941393E-2</v>
      </c>
      <c r="Z1164" s="23">
        <f t="shared" si="129"/>
        <v>3.5144943729834566E-3</v>
      </c>
      <c r="AA1164" s="36"/>
    </row>
    <row r="1165" spans="4:27" ht="13.9" customHeight="1">
      <c r="D1165" s="8"/>
      <c r="E1165" s="9"/>
      <c r="F1165" s="19"/>
      <c r="G1165" s="19"/>
      <c r="H1165" s="19"/>
      <c r="J1165" s="45"/>
      <c r="K1165" s="45"/>
      <c r="L1165" s="45"/>
      <c r="M1165" s="43"/>
      <c r="O1165" s="12">
        <f t="shared" si="123"/>
        <v>96</v>
      </c>
      <c r="P1165" s="13">
        <v>1152</v>
      </c>
      <c r="Q1165" s="22">
        <v>2.7531731853670083E-2</v>
      </c>
      <c r="R1165" s="19">
        <f t="shared" si="124"/>
        <v>2.8308760573119596E-2</v>
      </c>
      <c r="S1165" s="22">
        <v>3.9037217876072949E-2</v>
      </c>
      <c r="T1165" s="19">
        <f t="shared" si="125"/>
        <v>4.2999053716254787E-2</v>
      </c>
      <c r="U1165" s="24">
        <v>4.0329919147098048E-2</v>
      </c>
      <c r="V1165" s="24">
        <f t="shared" si="126"/>
        <v>4.2998701643105264E-2</v>
      </c>
      <c r="W1165" s="23">
        <f t="shared" si="127"/>
        <v>3.514487932904542E-3</v>
      </c>
      <c r="X1165" s="24">
        <v>4.0069477099065054E-2</v>
      </c>
      <c r="Y1165" s="24">
        <f t="shared" si="128"/>
        <v>4.2998793751996223E-2</v>
      </c>
      <c r="Z1165" s="23">
        <f t="shared" si="129"/>
        <v>3.5144953759471687E-3</v>
      </c>
      <c r="AA1165" s="36"/>
    </row>
    <row r="1166" spans="4:27" ht="13.9" customHeight="1">
      <c r="D1166" s="8"/>
      <c r="E1166" s="9"/>
      <c r="F1166" s="19"/>
      <c r="G1166" s="19"/>
      <c r="H1166" s="19"/>
      <c r="J1166" s="45"/>
      <c r="K1166" s="45"/>
      <c r="L1166" s="45"/>
      <c r="M1166" s="43"/>
      <c r="O1166" s="12">
        <f t="shared" ref="O1166:O1214" si="130">P1166/12</f>
        <v>96.083333333333329</v>
      </c>
      <c r="P1166" s="13">
        <v>1153</v>
      </c>
      <c r="Q1166" s="22">
        <v>2.7532405518305048E-2</v>
      </c>
      <c r="R1166" s="19">
        <f t="shared" ref="R1166:R1213" si="131">(1+Q1167)^P1167/(1+Q1166)^P1166-1</f>
        <v>2.8309019893940857E-2</v>
      </c>
      <c r="S1166" s="22">
        <v>3.9040647458290278E-2</v>
      </c>
      <c r="T1166" s="19">
        <f t="shared" ref="T1166:T1213" si="132">(1+S1167)^P1167/(1+S1166)^P1166-1</f>
        <v>4.2999063856706154E-2</v>
      </c>
      <c r="U1166" s="24">
        <v>4.0332230828065585E-2</v>
      </c>
      <c r="V1166" s="24">
        <f t="shared" ref="V1166:V1213" si="133">(1+U1167)^P1167/(1+U1166)^P1166-1</f>
        <v>4.2998714616773848E-2</v>
      </c>
      <c r="W1166" s="23">
        <f t="shared" si="127"/>
        <v>3.5144889836011828E-3</v>
      </c>
      <c r="X1166" s="24">
        <v>4.0072014135313694E-2</v>
      </c>
      <c r="Y1166" s="24">
        <f t="shared" si="128"/>
        <v>4.2998806007800594E-2</v>
      </c>
      <c r="Z1166" s="23">
        <f t="shared" si="129"/>
        <v>3.5144963687656627E-3</v>
      </c>
      <c r="AA1166" s="36"/>
    </row>
    <row r="1167" spans="4:27" ht="13.9" customHeight="1">
      <c r="D1167" s="8"/>
      <c r="E1167" s="9"/>
      <c r="F1167" s="19"/>
      <c r="G1167" s="19"/>
      <c r="H1167" s="19"/>
      <c r="J1167" s="45"/>
      <c r="K1167" s="45"/>
      <c r="L1167" s="45"/>
      <c r="M1167" s="43"/>
      <c r="O1167" s="12">
        <f t="shared" si="130"/>
        <v>96.166666666666671</v>
      </c>
      <c r="P1167" s="13">
        <v>1154</v>
      </c>
      <c r="Q1167" s="22">
        <v>2.753307824039597E-2</v>
      </c>
      <c r="R1167" s="19">
        <f t="shared" si="131"/>
        <v>2.8309277061818072E-2</v>
      </c>
      <c r="S1167" s="22">
        <v>3.9044071116735468E-2</v>
      </c>
      <c r="T1167" s="19">
        <f t="shared" si="132"/>
        <v>4.2999073888540185E-2</v>
      </c>
      <c r="U1167" s="24">
        <v>4.0334538518990604E-2</v>
      </c>
      <c r="V1167" s="24">
        <f t="shared" si="133"/>
        <v>4.2998727460421993E-2</v>
      </c>
      <c r="W1167" s="23">
        <f t="shared" ref="W1167:W1213" si="134">(1+V1166)^(1/12)-1</f>
        <v>3.5144900238122112E-3</v>
      </c>
      <c r="X1167" s="24">
        <v>4.0074546791382115E-2</v>
      </c>
      <c r="Y1167" s="24">
        <f t="shared" ref="Y1167:Y1213" si="135">(1+X1168)^P1168/(1+X1167)^P1167-1</f>
        <v>4.2998818139953654E-2</v>
      </c>
      <c r="Z1167" s="23">
        <f t="shared" ref="Z1167:Z1213" si="136">(1+Y1166)^(1/12)-1</f>
        <v>3.5144973514191769E-3</v>
      </c>
      <c r="AA1167" s="36"/>
    </row>
    <row r="1168" spans="4:27" ht="13.9" customHeight="1">
      <c r="D1168" s="8"/>
      <c r="E1168" s="9"/>
      <c r="F1168" s="19"/>
      <c r="G1168" s="19"/>
      <c r="H1168" s="19"/>
      <c r="J1168" s="45"/>
      <c r="K1168" s="45"/>
      <c r="L1168" s="45"/>
      <c r="M1168" s="43"/>
      <c r="O1168" s="12">
        <f t="shared" si="130"/>
        <v>96.25</v>
      </c>
      <c r="P1168" s="13">
        <v>1155</v>
      </c>
      <c r="Q1168" s="22">
        <v>2.7533750020527714E-2</v>
      </c>
      <c r="R1168" s="19">
        <f t="shared" si="131"/>
        <v>2.8309532094074719E-2</v>
      </c>
      <c r="S1168" s="22">
        <v>3.9047488866672309E-2</v>
      </c>
      <c r="T1168" s="19">
        <f t="shared" si="132"/>
        <v>4.2999083812820027E-2</v>
      </c>
      <c r="U1168" s="24">
        <v>4.0336842230111358E-2</v>
      </c>
      <c r="V1168" s="24">
        <f t="shared" si="133"/>
        <v>4.2998740176215744E-2</v>
      </c>
      <c r="W1168" s="23">
        <f t="shared" si="134"/>
        <v>3.5144910535982454E-3</v>
      </c>
      <c r="X1168" s="24">
        <v>4.0077075078524649E-2</v>
      </c>
      <c r="Y1168" s="24">
        <f t="shared" si="135"/>
        <v>4.2998830148549771E-2</v>
      </c>
      <c r="Z1168" s="23">
        <f t="shared" si="136"/>
        <v>3.5144983241583994E-3</v>
      </c>
      <c r="AA1168" s="36"/>
    </row>
    <row r="1169" spans="4:27" ht="13.9" customHeight="1">
      <c r="D1169" s="8"/>
      <c r="E1169" s="9"/>
      <c r="F1169" s="19"/>
      <c r="G1169" s="19"/>
      <c r="H1169" s="19"/>
      <c r="J1169" s="45"/>
      <c r="K1169" s="45"/>
      <c r="L1169" s="45"/>
      <c r="M1169" s="43"/>
      <c r="O1169" s="12">
        <f t="shared" si="130"/>
        <v>96.333333333333329</v>
      </c>
      <c r="P1169" s="13">
        <v>1156</v>
      </c>
      <c r="Q1169" s="22">
        <v>2.7534420859298026E-2</v>
      </c>
      <c r="R1169" s="19">
        <f t="shared" si="131"/>
        <v>2.8309785008991284E-2</v>
      </c>
      <c r="S1169" s="22">
        <v>3.9050900723312409E-2</v>
      </c>
      <c r="T1169" s="19">
        <f t="shared" si="132"/>
        <v>4.2999093630883056E-2</v>
      </c>
      <c r="U1169" s="24">
        <v>4.0339141971632575E-2</v>
      </c>
      <c r="V1169" s="24">
        <f t="shared" si="133"/>
        <v>4.2998752764704884E-2</v>
      </c>
      <c r="W1169" s="23">
        <f t="shared" si="134"/>
        <v>3.5144920731331464E-3</v>
      </c>
      <c r="X1169" s="24">
        <v>4.007959900795699E-2</v>
      </c>
      <c r="Y1169" s="24">
        <f t="shared" si="135"/>
        <v>4.2998842034885021E-2</v>
      </c>
      <c r="Z1169" s="23">
        <f t="shared" si="136"/>
        <v>3.5144992869911018E-3</v>
      </c>
      <c r="AA1169" s="36"/>
    </row>
    <row r="1170" spans="4:27" ht="13.9" customHeight="1">
      <c r="D1170" s="8"/>
      <c r="E1170" s="9"/>
      <c r="F1170" s="19"/>
      <c r="G1170" s="19"/>
      <c r="H1170" s="19"/>
      <c r="J1170" s="45"/>
      <c r="K1170" s="45"/>
      <c r="L1170" s="45"/>
      <c r="M1170" s="43"/>
      <c r="O1170" s="12">
        <f t="shared" si="130"/>
        <v>96.416666666666671</v>
      </c>
      <c r="P1170" s="13">
        <v>1157</v>
      </c>
      <c r="Q1170" s="22">
        <v>2.7535090757318414E-2</v>
      </c>
      <c r="R1170" s="19">
        <f t="shared" si="131"/>
        <v>2.8310035823757129E-2</v>
      </c>
      <c r="S1170" s="22">
        <v>3.9054306701816088E-2</v>
      </c>
      <c r="T1170" s="19">
        <f t="shared" si="132"/>
        <v>4.2999103343598133E-2</v>
      </c>
      <c r="U1170" s="24">
        <v>4.0341437753724341E-2</v>
      </c>
      <c r="V1170" s="24">
        <f t="shared" si="133"/>
        <v>4.2998765227244551E-2</v>
      </c>
      <c r="W1170" s="23">
        <f t="shared" si="134"/>
        <v>3.5144930824608789E-3</v>
      </c>
      <c r="X1170" s="24">
        <v>4.0082118590857085E-2</v>
      </c>
      <c r="Y1170" s="24">
        <f t="shared" si="135"/>
        <v>4.2998853800522152E-2</v>
      </c>
      <c r="Z1170" s="23">
        <f t="shared" si="136"/>
        <v>3.514500240020979E-3</v>
      </c>
      <c r="AA1170" s="36"/>
    </row>
    <row r="1171" spans="4:27" ht="13.9" customHeight="1">
      <c r="D1171" s="8"/>
      <c r="E1171" s="9"/>
      <c r="F1171" s="19"/>
      <c r="G1171" s="19"/>
      <c r="H1171" s="19"/>
      <c r="J1171" s="45"/>
      <c r="K1171" s="45"/>
      <c r="L1171" s="45"/>
      <c r="M1171" s="43"/>
      <c r="O1171" s="12">
        <f t="shared" si="130"/>
        <v>96.5</v>
      </c>
      <c r="P1171" s="13">
        <v>1158</v>
      </c>
      <c r="Q1171" s="22">
        <v>2.7535759715213048E-2</v>
      </c>
      <c r="R1171" s="19">
        <f t="shared" si="131"/>
        <v>2.8310284556252174E-2</v>
      </c>
      <c r="S1171" s="22">
        <v>3.905770681729237E-2</v>
      </c>
      <c r="T1171" s="19">
        <f t="shared" si="132"/>
        <v>4.2999112952186502E-2</v>
      </c>
      <c r="U1171" s="24">
        <v>4.0343729586522548E-2</v>
      </c>
      <c r="V1171" s="24">
        <f t="shared" si="133"/>
        <v>4.2998777565214752E-2</v>
      </c>
      <c r="W1171" s="23">
        <f t="shared" si="134"/>
        <v>3.5144940816902448E-3</v>
      </c>
      <c r="X1171" s="24">
        <v>4.0084633838365802E-2</v>
      </c>
      <c r="Y1171" s="24">
        <f t="shared" si="135"/>
        <v>4.2998865446701728E-2</v>
      </c>
      <c r="Z1171" s="23">
        <f t="shared" si="136"/>
        <v>3.5145011833737083E-3</v>
      </c>
      <c r="AA1171" s="36"/>
    </row>
    <row r="1172" spans="4:27" ht="13.9" customHeight="1">
      <c r="D1172" s="8"/>
      <c r="E1172" s="9"/>
      <c r="F1172" s="19"/>
      <c r="G1172" s="19"/>
      <c r="H1172" s="19"/>
      <c r="J1172" s="45"/>
      <c r="K1172" s="45"/>
      <c r="L1172" s="45"/>
      <c r="M1172" s="43"/>
      <c r="O1172" s="12">
        <f t="shared" si="130"/>
        <v>96.583333333333329</v>
      </c>
      <c r="P1172" s="13">
        <v>1159</v>
      </c>
      <c r="Q1172" s="22">
        <v>2.7536427733619195E-2</v>
      </c>
      <c r="R1172" s="19">
        <f t="shared" si="131"/>
        <v>2.8310531223012303E-2</v>
      </c>
      <c r="S1172" s="22">
        <v>3.906110108479921E-2</v>
      </c>
      <c r="T1172" s="19">
        <f t="shared" si="132"/>
        <v>4.2999122457757499E-2</v>
      </c>
      <c r="U1172" s="24">
        <v>4.0346017480129559E-2</v>
      </c>
      <c r="V1172" s="24">
        <f t="shared" si="133"/>
        <v>4.29987897799462E-2</v>
      </c>
      <c r="W1172" s="23">
        <f t="shared" si="134"/>
        <v>3.5144950709316003E-3</v>
      </c>
      <c r="X1172" s="24">
        <v>4.008714476158648E-2</v>
      </c>
      <c r="Y1172" s="24">
        <f t="shared" si="135"/>
        <v>4.2998876974529532E-2</v>
      </c>
      <c r="Z1172" s="23">
        <f t="shared" si="136"/>
        <v>3.5145021171483215E-3</v>
      </c>
      <c r="AA1172" s="36"/>
    </row>
    <row r="1173" spans="4:27" ht="13.9" customHeight="1">
      <c r="D1173" s="8"/>
      <c r="E1173" s="9"/>
      <c r="F1173" s="19"/>
      <c r="G1173" s="19"/>
      <c r="H1173" s="19"/>
      <c r="J1173" s="45"/>
      <c r="K1173" s="45"/>
      <c r="L1173" s="45"/>
      <c r="M1173" s="43"/>
      <c r="O1173" s="12">
        <f t="shared" si="130"/>
        <v>96.666666666666671</v>
      </c>
      <c r="P1173" s="13">
        <v>1160</v>
      </c>
      <c r="Q1173" s="22">
        <v>2.7537094813186558E-2</v>
      </c>
      <c r="R1173" s="19">
        <f t="shared" si="131"/>
        <v>2.83107758413359E-2</v>
      </c>
      <c r="S1173" s="22">
        <v>3.9064489519343493E-2</v>
      </c>
      <c r="T1173" s="19">
        <f t="shared" si="132"/>
        <v>4.299913186168558E-2</v>
      </c>
      <c r="U1173" s="24">
        <v>4.034830144461421E-2</v>
      </c>
      <c r="V1173" s="24">
        <f t="shared" si="133"/>
        <v>4.2998801873242565E-2</v>
      </c>
      <c r="W1173" s="23">
        <f t="shared" si="134"/>
        <v>3.5144960502919709E-3</v>
      </c>
      <c r="X1173" s="24">
        <v>4.0089651371585378E-2</v>
      </c>
      <c r="Y1173" s="24">
        <f t="shared" si="135"/>
        <v>4.2998888385130218E-2</v>
      </c>
      <c r="Z1173" s="23">
        <f t="shared" si="136"/>
        <v>3.5145030414336365E-3</v>
      </c>
      <c r="AA1173" s="36"/>
    </row>
    <row r="1174" spans="4:27" ht="13.9" customHeight="1">
      <c r="D1174" s="8"/>
      <c r="E1174" s="9"/>
      <c r="F1174" s="19"/>
      <c r="G1174" s="19"/>
      <c r="H1174" s="19"/>
      <c r="J1174" s="45"/>
      <c r="K1174" s="45"/>
      <c r="L1174" s="45"/>
      <c r="M1174" s="43"/>
      <c r="O1174" s="12">
        <f t="shared" si="130"/>
        <v>96.75</v>
      </c>
      <c r="P1174" s="13">
        <v>1161</v>
      </c>
      <c r="Q1174" s="22">
        <v>2.7537760954577273E-2</v>
      </c>
      <c r="R1174" s="19">
        <f t="shared" si="131"/>
        <v>2.8311018429354462E-2</v>
      </c>
      <c r="S1174" s="22">
        <v>3.906787213588192E-2</v>
      </c>
      <c r="T1174" s="19">
        <f t="shared" si="132"/>
        <v>4.2999141164776322E-2</v>
      </c>
      <c r="U1174" s="24">
        <v>4.0350581490011805E-2</v>
      </c>
      <c r="V1174" s="24">
        <f t="shared" si="133"/>
        <v>4.2998813844730144E-2</v>
      </c>
      <c r="W1174" s="23">
        <f t="shared" si="134"/>
        <v>3.5144970199159076E-3</v>
      </c>
      <c r="X1174" s="24">
        <v>4.0092153679391451E-2</v>
      </c>
      <c r="Y1174" s="24">
        <f t="shared" si="135"/>
        <v>4.2998899680130487E-2</v>
      </c>
      <c r="Z1174" s="23">
        <f t="shared" si="136"/>
        <v>3.5145039563198033E-3</v>
      </c>
      <c r="AA1174" s="36"/>
    </row>
    <row r="1175" spans="4:27" ht="13.9" customHeight="1">
      <c r="D1175" s="8"/>
      <c r="E1175" s="9"/>
      <c r="F1175" s="19"/>
      <c r="G1175" s="19"/>
      <c r="H1175" s="19"/>
      <c r="J1175" s="45"/>
      <c r="K1175" s="45"/>
      <c r="L1175" s="45"/>
      <c r="M1175" s="43"/>
      <c r="O1175" s="12">
        <f t="shared" si="130"/>
        <v>96.833333333333329</v>
      </c>
      <c r="P1175" s="13">
        <v>1162</v>
      </c>
      <c r="Q1175" s="22">
        <v>2.7538426158466578E-2</v>
      </c>
      <c r="R1175" s="19">
        <f t="shared" si="131"/>
        <v>2.8311259002907763E-2</v>
      </c>
      <c r="S1175" s="22">
        <v>3.9071248949320347E-2</v>
      </c>
      <c r="T1175" s="19">
        <f t="shared" si="132"/>
        <v>4.2999150368368877E-2</v>
      </c>
      <c r="U1175" s="24">
        <v>4.0352857626323235E-2</v>
      </c>
      <c r="V1175" s="24">
        <f t="shared" si="133"/>
        <v>4.2998825697428522E-2</v>
      </c>
      <c r="W1175" s="23">
        <f t="shared" si="134"/>
        <v>3.5144979797732123E-3</v>
      </c>
      <c r="X1175" s="24">
        <v>4.0094651695997241E-2</v>
      </c>
      <c r="Y1175" s="24">
        <f t="shared" si="135"/>
        <v>4.2998910859946893E-2</v>
      </c>
      <c r="Z1175" s="23">
        <f t="shared" si="136"/>
        <v>3.5145048619371622E-3</v>
      </c>
      <c r="AA1175" s="36"/>
    </row>
    <row r="1176" spans="4:27" ht="13.9" customHeight="1">
      <c r="D1176" s="8"/>
      <c r="E1176" s="9"/>
      <c r="F1176" s="19"/>
      <c r="G1176" s="19"/>
      <c r="H1176" s="19"/>
      <c r="J1176" s="45"/>
      <c r="K1176" s="45"/>
      <c r="L1176" s="45"/>
      <c r="M1176" s="43"/>
      <c r="O1176" s="12">
        <f t="shared" si="130"/>
        <v>96.916666666666671</v>
      </c>
      <c r="P1176" s="13">
        <v>1163</v>
      </c>
      <c r="Q1176" s="22">
        <v>2.7539090425541479E-2</v>
      </c>
      <c r="R1176" s="19">
        <f t="shared" si="131"/>
        <v>2.8311497578783706E-2</v>
      </c>
      <c r="S1176" s="22">
        <v>3.9074619974514668E-2</v>
      </c>
      <c r="T1176" s="19">
        <f t="shared" si="132"/>
        <v>4.2999159472859372E-2</v>
      </c>
      <c r="U1176" s="24">
        <v>4.0355129863517414E-2</v>
      </c>
      <c r="V1176" s="24">
        <f t="shared" si="133"/>
        <v>4.2998837431152959E-2</v>
      </c>
      <c r="W1176" s="23">
        <f t="shared" si="134"/>
        <v>3.5144989301063578E-3</v>
      </c>
      <c r="X1176" s="24">
        <v>4.0097145432358205E-2</v>
      </c>
      <c r="Y1176" s="24">
        <f t="shared" si="135"/>
        <v>4.2998921926539202E-2</v>
      </c>
      <c r="Z1176" s="23">
        <f t="shared" si="136"/>
        <v>3.5145057583194639E-3</v>
      </c>
      <c r="AA1176" s="36"/>
    </row>
    <row r="1177" spans="4:27" ht="13.9" customHeight="1">
      <c r="D1177" s="8"/>
      <c r="E1177" s="9"/>
      <c r="F1177" s="19"/>
      <c r="G1177" s="19"/>
      <c r="H1177" s="19"/>
      <c r="J1177" s="45"/>
      <c r="K1177" s="45"/>
      <c r="L1177" s="45"/>
      <c r="M1177" s="43"/>
      <c r="O1177" s="12">
        <f t="shared" si="130"/>
        <v>97</v>
      </c>
      <c r="P1177" s="13">
        <v>1164</v>
      </c>
      <c r="Q1177" s="22">
        <v>2.7539753756500529E-2</v>
      </c>
      <c r="R1177" s="19">
        <f t="shared" si="131"/>
        <v>2.8311734173527281E-2</v>
      </c>
      <c r="S1177" s="22">
        <v>3.9077985226270151E-2</v>
      </c>
      <c r="T1177" s="19">
        <f t="shared" si="132"/>
        <v>4.2999168480325922E-2</v>
      </c>
      <c r="U1177" s="24">
        <v>4.0357398211529061E-2</v>
      </c>
      <c r="V1177" s="24">
        <f t="shared" si="133"/>
        <v>4.2998849047950483E-2</v>
      </c>
      <c r="W1177" s="23">
        <f t="shared" si="134"/>
        <v>3.5144998709002451E-3</v>
      </c>
      <c r="X1177" s="24">
        <v>4.0099634899393166E-2</v>
      </c>
      <c r="Y1177" s="24">
        <f t="shared" si="135"/>
        <v>4.2998932880425E-2</v>
      </c>
      <c r="Z1177" s="23">
        <f t="shared" si="136"/>
        <v>3.5145066456234719E-3</v>
      </c>
      <c r="AA1177" s="36"/>
    </row>
    <row r="1178" spans="4:27" ht="13.9" customHeight="1">
      <c r="D1178" s="8"/>
      <c r="E1178" s="9"/>
      <c r="F1178" s="19"/>
      <c r="G1178" s="19"/>
      <c r="H1178" s="19"/>
      <c r="J1178" s="45"/>
      <c r="K1178" s="45"/>
      <c r="L1178" s="45"/>
      <c r="M1178" s="43"/>
      <c r="O1178" s="12">
        <f t="shared" si="130"/>
        <v>97.083333333333329</v>
      </c>
      <c r="P1178" s="13">
        <v>1165</v>
      </c>
      <c r="Q1178" s="22">
        <v>2.7540416152054492E-2</v>
      </c>
      <c r="R1178" s="19">
        <f t="shared" si="131"/>
        <v>2.831196880439002E-2</v>
      </c>
      <c r="S1178" s="22">
        <v>3.9081344719342992E-2</v>
      </c>
      <c r="T1178" s="19">
        <f t="shared" si="132"/>
        <v>4.2999177390486309E-2</v>
      </c>
      <c r="U1178" s="24">
        <v>4.0359662680260255E-2</v>
      </c>
      <c r="V1178" s="24">
        <f t="shared" si="133"/>
        <v>4.299886054849722E-2</v>
      </c>
      <c r="W1178" s="23">
        <f t="shared" si="134"/>
        <v>3.514500802318965E-3</v>
      </c>
      <c r="X1178" s="24">
        <v>4.0102120107984529E-2</v>
      </c>
      <c r="Y1178" s="24">
        <f t="shared" si="135"/>
        <v>4.2998943723042249E-2</v>
      </c>
      <c r="Z1178" s="23">
        <f t="shared" si="136"/>
        <v>3.5145075238909307E-3</v>
      </c>
      <c r="AA1178" s="36"/>
    </row>
    <row r="1179" spans="4:27" ht="13.9" customHeight="1">
      <c r="D1179" s="8"/>
      <c r="E1179" s="9"/>
      <c r="F1179" s="19"/>
      <c r="G1179" s="19"/>
      <c r="H1179" s="19"/>
      <c r="J1179" s="45"/>
      <c r="K1179" s="45"/>
      <c r="L1179" s="45"/>
      <c r="M1179" s="43"/>
      <c r="O1179" s="12">
        <f t="shared" si="130"/>
        <v>97.166666666666671</v>
      </c>
      <c r="P1179" s="13">
        <v>1166</v>
      </c>
      <c r="Q1179" s="22">
        <v>2.7541077612926124E-2</v>
      </c>
      <c r="R1179" s="19">
        <f t="shared" si="131"/>
        <v>2.8312201486867528E-2</v>
      </c>
      <c r="S1179" s="22">
        <v>3.9084698468438983E-2</v>
      </c>
      <c r="T1179" s="19">
        <f t="shared" si="132"/>
        <v>4.2999186205956441E-2</v>
      </c>
      <c r="U1179" s="24">
        <v>4.0361923279580214E-2</v>
      </c>
      <c r="V1179" s="24">
        <f t="shared" si="133"/>
        <v>4.2998871933950689E-2</v>
      </c>
      <c r="W1179" s="23">
        <f t="shared" si="134"/>
        <v>3.5145017244169185E-3</v>
      </c>
      <c r="X1179" s="24">
        <v>4.0104601068978507E-2</v>
      </c>
      <c r="Y1179" s="24">
        <f t="shared" si="135"/>
        <v>4.2998954455532035E-2</v>
      </c>
      <c r="Z1179" s="23">
        <f t="shared" si="136"/>
        <v>3.5145083932368593E-3</v>
      </c>
      <c r="AA1179" s="36"/>
    </row>
    <row r="1180" spans="4:27" ht="13.9" customHeight="1">
      <c r="D1180" s="8"/>
      <c r="E1180" s="9"/>
      <c r="F1180" s="19"/>
      <c r="G1180" s="19"/>
      <c r="H1180" s="19"/>
      <c r="J1180" s="45"/>
      <c r="K1180" s="45"/>
      <c r="L1180" s="45"/>
      <c r="M1180" s="43"/>
      <c r="O1180" s="12">
        <f t="shared" si="130"/>
        <v>97.25</v>
      </c>
      <c r="P1180" s="13">
        <v>1167</v>
      </c>
      <c r="Q1180" s="22">
        <v>2.7541738139849281E-2</v>
      </c>
      <c r="R1180" s="19">
        <f t="shared" si="131"/>
        <v>2.8312432237143081E-2</v>
      </c>
      <c r="S1180" s="22">
        <v>3.9088046488215289E-2</v>
      </c>
      <c r="T1180" s="19">
        <f t="shared" si="132"/>
        <v>4.2999194926620854E-2</v>
      </c>
      <c r="U1180" s="24">
        <v>4.0364180019324847E-2</v>
      </c>
      <c r="V1180" s="24">
        <f t="shared" si="133"/>
        <v>4.2998883205869864E-2</v>
      </c>
      <c r="W1180" s="23">
        <f t="shared" si="134"/>
        <v>3.5145026372869204E-3</v>
      </c>
      <c r="X1180" s="24">
        <v>4.010707779318512E-2</v>
      </c>
      <c r="Y1180" s="24">
        <f t="shared" si="135"/>
        <v>4.2998965078787865E-2</v>
      </c>
      <c r="Z1180" s="23">
        <f t="shared" si="136"/>
        <v>3.5145092537529621E-3</v>
      </c>
      <c r="AA1180" s="36"/>
    </row>
    <row r="1181" spans="4:27" ht="13.9" customHeight="1">
      <c r="D1181" s="8"/>
      <c r="E1181" s="9"/>
      <c r="F1181" s="19"/>
      <c r="G1181" s="19"/>
      <c r="H1181" s="19"/>
      <c r="J1181" s="45"/>
      <c r="K1181" s="45"/>
      <c r="L1181" s="45"/>
      <c r="M1181" s="43"/>
      <c r="O1181" s="12">
        <f t="shared" si="130"/>
        <v>97.333333333333329</v>
      </c>
      <c r="P1181" s="13">
        <v>1168</v>
      </c>
      <c r="Q1181" s="22">
        <v>2.7542397733568924E-2</v>
      </c>
      <c r="R1181" s="19">
        <f t="shared" si="131"/>
        <v>2.8312661071867806E-2</v>
      </c>
      <c r="S1181" s="22">
        <v>3.9091388793279336E-2</v>
      </c>
      <c r="T1181" s="19">
        <f t="shared" si="132"/>
        <v>4.2999203553865994E-2</v>
      </c>
      <c r="U1181" s="24">
        <v>4.0366432909298089E-2</v>
      </c>
      <c r="V1181" s="24">
        <f t="shared" si="133"/>
        <v>4.2998894365090301E-2</v>
      </c>
      <c r="W1181" s="23">
        <f t="shared" si="134"/>
        <v>3.5145035410537595E-3</v>
      </c>
      <c r="X1181" s="24">
        <v>4.0109550291378193E-2</v>
      </c>
      <c r="Y1181" s="24">
        <f t="shared" si="135"/>
        <v>4.2998975594362276E-2</v>
      </c>
      <c r="Z1181" s="23">
        <f t="shared" si="136"/>
        <v>3.5145101055109595E-3</v>
      </c>
      <c r="AA1181" s="36"/>
    </row>
    <row r="1182" spans="4:27" ht="13.9" customHeight="1">
      <c r="D1182" s="8"/>
      <c r="E1182" s="9"/>
      <c r="F1182" s="19"/>
      <c r="G1182" s="19"/>
      <c r="H1182" s="19"/>
      <c r="J1182" s="45"/>
      <c r="K1182" s="45"/>
      <c r="L1182" s="45"/>
      <c r="M1182" s="43"/>
      <c r="O1182" s="12">
        <f t="shared" si="130"/>
        <v>97.416666666666671</v>
      </c>
      <c r="P1182" s="13">
        <v>1169</v>
      </c>
      <c r="Q1182" s="22">
        <v>2.7543056394841781E-2</v>
      </c>
      <c r="R1182" s="19">
        <f t="shared" si="131"/>
        <v>2.8312888006228665E-2</v>
      </c>
      <c r="S1182" s="22">
        <v>3.9094725398189478E-2</v>
      </c>
      <c r="T1182" s="19">
        <f t="shared" si="132"/>
        <v>4.2999212088578265E-2</v>
      </c>
      <c r="U1182" s="24">
        <v>4.0368681959271013E-2</v>
      </c>
      <c r="V1182" s="24">
        <f t="shared" si="133"/>
        <v>4.2998905413142108E-2</v>
      </c>
      <c r="W1182" s="23">
        <f t="shared" si="134"/>
        <v>3.5145044357847155E-3</v>
      </c>
      <c r="X1182" s="24">
        <v>4.0112018574296027E-2</v>
      </c>
      <c r="Y1182" s="24">
        <f t="shared" si="135"/>
        <v>4.2998986003160322E-2</v>
      </c>
      <c r="Z1182" s="23">
        <f t="shared" si="136"/>
        <v>3.5145109486351966E-3</v>
      </c>
      <c r="AA1182" s="36"/>
    </row>
    <row r="1183" spans="4:27" ht="13.9" customHeight="1">
      <c r="D1183" s="8"/>
      <c r="E1183" s="9"/>
      <c r="F1183" s="19"/>
      <c r="G1183" s="19"/>
      <c r="H1183" s="19"/>
      <c r="J1183" s="45"/>
      <c r="K1183" s="45"/>
      <c r="L1183" s="45"/>
      <c r="M1183" s="43"/>
      <c r="O1183" s="12">
        <f t="shared" si="130"/>
        <v>97.5</v>
      </c>
      <c r="P1183" s="13">
        <v>1170</v>
      </c>
      <c r="Q1183" s="22">
        <v>2.7543714124435015E-2</v>
      </c>
      <c r="R1183" s="19">
        <f t="shared" si="131"/>
        <v>2.8313113056937178E-2</v>
      </c>
      <c r="S1183" s="22">
        <v>3.9098056317455665E-2</v>
      </c>
      <c r="T1183" s="19">
        <f t="shared" si="132"/>
        <v>4.2999220532053961E-2</v>
      </c>
      <c r="U1183" s="24">
        <v>4.0370927178982496E-2</v>
      </c>
      <c r="V1183" s="24">
        <f t="shared" si="133"/>
        <v>4.2998916350158289E-2</v>
      </c>
      <c r="W1183" s="23">
        <f t="shared" si="134"/>
        <v>3.5145053216021349E-3</v>
      </c>
      <c r="X1183" s="24">
        <v>4.011448265264117E-2</v>
      </c>
      <c r="Y1183" s="24">
        <f t="shared" si="135"/>
        <v>4.2998996305777082E-2</v>
      </c>
      <c r="Z1183" s="23">
        <f t="shared" si="136"/>
        <v>3.5145117831980599E-3</v>
      </c>
      <c r="AA1183" s="36"/>
    </row>
    <row r="1184" spans="4:27" ht="13.9" customHeight="1">
      <c r="D1184" s="8"/>
      <c r="E1184" s="9"/>
      <c r="F1184" s="19"/>
      <c r="G1184" s="19"/>
      <c r="H1184" s="19"/>
      <c r="J1184" s="45"/>
      <c r="K1184" s="45"/>
      <c r="L1184" s="45"/>
      <c r="M1184" s="43"/>
      <c r="O1184" s="12">
        <f t="shared" si="130"/>
        <v>97.583333333333329</v>
      </c>
      <c r="P1184" s="13">
        <v>1171</v>
      </c>
      <c r="Q1184" s="22">
        <v>2.7544370923127337E-2</v>
      </c>
      <c r="R1184" s="19">
        <f t="shared" si="131"/>
        <v>2.8313336238474873E-2</v>
      </c>
      <c r="S1184" s="22">
        <v>3.9101381565538773E-2</v>
      </c>
      <c r="T1184" s="19">
        <f t="shared" si="132"/>
        <v>4.2999228885070684E-2</v>
      </c>
      <c r="U1184" s="24">
        <v>4.0373168578138552E-2</v>
      </c>
      <c r="V1184" s="24">
        <f t="shared" si="133"/>
        <v>4.2998927178490076E-2</v>
      </c>
      <c r="W1184" s="23">
        <f t="shared" si="134"/>
        <v>3.5145061985168979E-3</v>
      </c>
      <c r="X1184" s="24">
        <v>4.011694253707998E-2</v>
      </c>
      <c r="Y1184" s="24">
        <f t="shared" si="135"/>
        <v>4.2999006504492732E-2</v>
      </c>
      <c r="Z1184" s="23">
        <f t="shared" si="136"/>
        <v>3.514512609247511E-3</v>
      </c>
      <c r="AA1184" s="36"/>
    </row>
    <row r="1185" spans="4:27" ht="13.9" customHeight="1">
      <c r="D1185" s="8"/>
      <c r="E1185" s="9"/>
      <c r="F1185" s="19"/>
      <c r="G1185" s="19"/>
      <c r="H1185" s="19"/>
      <c r="J1185" s="45"/>
      <c r="K1185" s="45"/>
      <c r="L1185" s="45"/>
      <c r="M1185" s="43"/>
      <c r="O1185" s="12">
        <f t="shared" si="130"/>
        <v>97.666666666666671</v>
      </c>
      <c r="P1185" s="13">
        <v>1172</v>
      </c>
      <c r="Q1185" s="22">
        <v>2.7545026791707228E-2</v>
      </c>
      <c r="R1185" s="19">
        <f t="shared" si="131"/>
        <v>2.8313557567432257E-2</v>
      </c>
      <c r="S1185" s="22">
        <v>3.9104701156851718E-2</v>
      </c>
      <c r="T1185" s="19">
        <f t="shared" si="132"/>
        <v>4.2999237148282798E-2</v>
      </c>
      <c r="U1185" s="24">
        <v>4.0375406166413885E-2</v>
      </c>
      <c r="V1185" s="24">
        <f t="shared" si="133"/>
        <v>4.2998937898526046E-2</v>
      </c>
      <c r="W1185" s="23">
        <f t="shared" si="134"/>
        <v>3.5145070667175204E-3</v>
      </c>
      <c r="X1185" s="24">
        <v>4.0119398238244397E-2</v>
      </c>
      <c r="Y1185" s="24">
        <f t="shared" si="135"/>
        <v>4.2999016598730622E-2</v>
      </c>
      <c r="Z1185" s="23">
        <f t="shared" si="136"/>
        <v>3.5145134269662925E-3</v>
      </c>
      <c r="AA1185" s="36"/>
    </row>
    <row r="1186" spans="4:27" ht="13.9" customHeight="1">
      <c r="D1186" s="8"/>
      <c r="E1186" s="9"/>
      <c r="F1186" s="19"/>
      <c r="G1186" s="19"/>
      <c r="H1186" s="19"/>
      <c r="J1186" s="45"/>
      <c r="K1186" s="45"/>
      <c r="L1186" s="45"/>
      <c r="M1186" s="43"/>
      <c r="O1186" s="12">
        <f t="shared" si="130"/>
        <v>97.75</v>
      </c>
      <c r="P1186" s="13">
        <v>1173</v>
      </c>
      <c r="Q1186" s="22">
        <v>2.7545681730974492E-2</v>
      </c>
      <c r="R1186" s="19">
        <f t="shared" si="131"/>
        <v>2.8313777058550205E-2</v>
      </c>
      <c r="S1186" s="22">
        <v>3.9108015105758565E-2</v>
      </c>
      <c r="T1186" s="19">
        <f t="shared" si="132"/>
        <v>4.2999245323112056E-2</v>
      </c>
      <c r="U1186" s="24">
        <v>4.0377639953450561E-2</v>
      </c>
      <c r="V1186" s="24">
        <f t="shared" si="133"/>
        <v>4.2998948510886814E-2</v>
      </c>
      <c r="W1186" s="23">
        <f t="shared" si="134"/>
        <v>3.5145079262353107E-3</v>
      </c>
      <c r="X1186" s="24">
        <v>4.0121849766729945E-2</v>
      </c>
      <c r="Y1186" s="24">
        <f t="shared" si="135"/>
        <v>4.2999026590730072E-2</v>
      </c>
      <c r="Z1186" s="23">
        <f t="shared" si="136"/>
        <v>3.5145142363084414E-3</v>
      </c>
      <c r="AA1186" s="36"/>
    </row>
    <row r="1187" spans="4:27" ht="13.9" customHeight="1">
      <c r="D1187" s="8"/>
      <c r="E1187" s="9"/>
      <c r="F1187" s="19"/>
      <c r="G1187" s="19"/>
      <c r="H1187" s="19"/>
      <c r="J1187" s="45"/>
      <c r="K1187" s="45"/>
      <c r="L1187" s="45"/>
      <c r="M1187" s="43"/>
      <c r="O1187" s="12">
        <f t="shared" si="130"/>
        <v>97.833333333333329</v>
      </c>
      <c r="P1187" s="13">
        <v>1174</v>
      </c>
      <c r="Q1187" s="22">
        <v>2.7546335741738925E-2</v>
      </c>
      <c r="R1187" s="19">
        <f t="shared" si="131"/>
        <v>2.8313994727320768E-2</v>
      </c>
      <c r="S1187" s="22">
        <v>3.9111323426575861E-2</v>
      </c>
      <c r="T1187" s="19">
        <f t="shared" si="132"/>
        <v>4.2999253409925942E-2</v>
      </c>
      <c r="U1187" s="24">
        <v>4.0379869948858671E-2</v>
      </c>
      <c r="V1187" s="24">
        <f t="shared" si="133"/>
        <v>4.2998959017558569E-2</v>
      </c>
      <c r="W1187" s="23">
        <f t="shared" si="134"/>
        <v>3.5145087771195627E-3</v>
      </c>
      <c r="X1187" s="24">
        <v>4.012429713309773E-2</v>
      </c>
      <c r="Y1187" s="24">
        <f t="shared" si="135"/>
        <v>4.2999036481281339E-2</v>
      </c>
      <c r="Z1187" s="23">
        <f t="shared" si="136"/>
        <v>3.5145150374529255E-3</v>
      </c>
      <c r="AA1187" s="36"/>
    </row>
    <row r="1188" spans="4:27" ht="13.9" customHeight="1">
      <c r="D1188" s="8"/>
      <c r="E1188" s="9"/>
      <c r="F1188" s="19"/>
      <c r="G1188" s="19"/>
      <c r="H1188" s="19"/>
      <c r="J1188" s="45"/>
      <c r="K1188" s="45"/>
      <c r="L1188" s="45"/>
      <c r="M1188" s="43"/>
      <c r="O1188" s="12">
        <f t="shared" si="130"/>
        <v>97.916666666666671</v>
      </c>
      <c r="P1188" s="13">
        <v>1175</v>
      </c>
      <c r="Q1188" s="22">
        <v>2.754698882482054E-2</v>
      </c>
      <c r="R1188" s="19">
        <f t="shared" si="131"/>
        <v>2.8314210588937128E-2</v>
      </c>
      <c r="S1188" s="22">
        <v>3.911462613357175E-2</v>
      </c>
      <c r="T1188" s="19">
        <f t="shared" si="132"/>
        <v>4.2999261410667788E-2</v>
      </c>
      <c r="U1188" s="24">
        <v>4.0382096162216996E-2</v>
      </c>
      <c r="V1188" s="24">
        <f t="shared" si="133"/>
        <v>4.2998969419641098E-2</v>
      </c>
      <c r="W1188" s="23">
        <f t="shared" si="134"/>
        <v>3.5145096195299264E-3</v>
      </c>
      <c r="X1188" s="24">
        <v>4.0126740347873557E-2</v>
      </c>
      <c r="Y1188" s="24">
        <f t="shared" si="135"/>
        <v>4.2999046271092078E-2</v>
      </c>
      <c r="Z1188" s="23">
        <f t="shared" si="136"/>
        <v>3.5145158304634716E-3</v>
      </c>
      <c r="AA1188" s="36"/>
    </row>
    <row r="1189" spans="4:27" ht="13.9" customHeight="1">
      <c r="D1189" s="8"/>
      <c r="E1189" s="9"/>
      <c r="F1189" s="19"/>
      <c r="G1189" s="19"/>
      <c r="H1189" s="19"/>
      <c r="J1189" s="45"/>
      <c r="K1189" s="45"/>
      <c r="L1189" s="45"/>
      <c r="M1189" s="43"/>
      <c r="O1189" s="12">
        <f t="shared" si="130"/>
        <v>98</v>
      </c>
      <c r="P1189" s="13">
        <v>1176</v>
      </c>
      <c r="Q1189" s="22">
        <v>2.7547640981049781E-2</v>
      </c>
      <c r="R1189" s="19">
        <f t="shared" si="131"/>
        <v>2.8314424658504755E-2</v>
      </c>
      <c r="S1189" s="22">
        <v>3.9117923240967523E-2</v>
      </c>
      <c r="T1189" s="19">
        <f t="shared" si="132"/>
        <v>4.2999269325743716E-2</v>
      </c>
      <c r="U1189" s="24">
        <v>4.0384318603072789E-2</v>
      </c>
      <c r="V1189" s="24">
        <f t="shared" si="133"/>
        <v>4.2998979717179475E-2</v>
      </c>
      <c r="W1189" s="23">
        <f t="shared" si="134"/>
        <v>3.5145104535545535E-3</v>
      </c>
      <c r="X1189" s="24">
        <v>4.0129179421548589E-2</v>
      </c>
      <c r="Y1189" s="24">
        <f t="shared" si="135"/>
        <v>4.299905596162179E-2</v>
      </c>
      <c r="Z1189" s="23">
        <f t="shared" si="136"/>
        <v>3.5145166153969232E-3</v>
      </c>
      <c r="AA1189" s="36"/>
    </row>
    <row r="1190" spans="4:27" ht="13.9" customHeight="1">
      <c r="D1190" s="8"/>
      <c r="E1190" s="9"/>
      <c r="F1190" s="19"/>
      <c r="G1190" s="19"/>
      <c r="H1190" s="19"/>
      <c r="J1190" s="45"/>
      <c r="K1190" s="45"/>
      <c r="L1190" s="45"/>
      <c r="M1190" s="43"/>
      <c r="O1190" s="12">
        <f t="shared" si="130"/>
        <v>98.083333333333329</v>
      </c>
      <c r="P1190" s="13">
        <v>1177</v>
      </c>
      <c r="Q1190" s="22">
        <v>2.7548292211266645E-2</v>
      </c>
      <c r="R1190" s="19">
        <f t="shared" si="131"/>
        <v>2.8314636950064864E-2</v>
      </c>
      <c r="S1190" s="22">
        <v>3.9121214762936729E-2</v>
      </c>
      <c r="T1190" s="19">
        <f t="shared" si="132"/>
        <v>4.299927715540619E-2</v>
      </c>
      <c r="U1190" s="24">
        <v>4.0386537280941104E-2</v>
      </c>
      <c r="V1190" s="24">
        <f t="shared" si="133"/>
        <v>4.2998989912143681E-2</v>
      </c>
      <c r="W1190" s="23">
        <f t="shared" si="134"/>
        <v>3.5145112791967748E-3</v>
      </c>
      <c r="X1190" s="24">
        <v>4.0131614364578905E-2</v>
      </c>
      <c r="Y1190" s="24">
        <f t="shared" si="135"/>
        <v>4.2999065554021998E-2</v>
      </c>
      <c r="Z1190" s="23">
        <f t="shared" si="136"/>
        <v>3.5145173923700757E-3</v>
      </c>
      <c r="AA1190" s="36"/>
    </row>
    <row r="1191" spans="4:27" ht="13.9" customHeight="1">
      <c r="D1191" s="8"/>
      <c r="E1191" s="9"/>
      <c r="F1191" s="19"/>
      <c r="G1191" s="19"/>
      <c r="H1191" s="19"/>
      <c r="J1191" s="45"/>
      <c r="K1191" s="45"/>
      <c r="L1191" s="45"/>
      <c r="M1191" s="43"/>
      <c r="O1191" s="12">
        <f t="shared" si="130"/>
        <v>98.166666666666671</v>
      </c>
      <c r="P1191" s="13">
        <v>1178</v>
      </c>
      <c r="Q1191" s="22">
        <v>2.7548942516320674E-2</v>
      </c>
      <c r="R1191" s="19">
        <f t="shared" si="131"/>
        <v>2.8314847479883332E-2</v>
      </c>
      <c r="S1191" s="22">
        <v>3.9124500713604959E-2</v>
      </c>
      <c r="T1191" s="19">
        <f t="shared" si="132"/>
        <v>4.2999284901607426E-2</v>
      </c>
      <c r="U1191" s="24">
        <v>4.0388752205306133E-2</v>
      </c>
      <c r="V1191" s="24">
        <f t="shared" si="133"/>
        <v>4.299900000505863E-2</v>
      </c>
      <c r="W1191" s="23">
        <f t="shared" si="134"/>
        <v>3.5145120966149079E-3</v>
      </c>
      <c r="X1191" s="24">
        <v>4.0134045187386613E-2</v>
      </c>
      <c r="Y1191" s="24">
        <f t="shared" si="135"/>
        <v>4.2999075048182123E-2</v>
      </c>
      <c r="Z1191" s="23">
        <f t="shared" si="136"/>
        <v>3.5145181614752996E-3</v>
      </c>
      <c r="AA1191" s="36"/>
    </row>
    <row r="1192" spans="4:27" ht="13.9" customHeight="1">
      <c r="D1192" s="8"/>
      <c r="E1192" s="9"/>
      <c r="F1192" s="19"/>
      <c r="G1192" s="19"/>
      <c r="H1192" s="19"/>
      <c r="J1192" s="45"/>
      <c r="K1192" s="45"/>
      <c r="L1192" s="45"/>
      <c r="M1192" s="43"/>
      <c r="O1192" s="12">
        <f t="shared" si="130"/>
        <v>98.25</v>
      </c>
      <c r="P1192" s="13">
        <v>1179</v>
      </c>
      <c r="Q1192" s="22">
        <v>2.7549591897071846E-2</v>
      </c>
      <c r="R1192" s="19">
        <f t="shared" si="131"/>
        <v>2.8315056261293936E-2</v>
      </c>
      <c r="S1192" s="22">
        <v>3.912778110705184E-2</v>
      </c>
      <c r="T1192" s="19">
        <f t="shared" si="132"/>
        <v>4.2999292564608327E-2</v>
      </c>
      <c r="U1192" s="24">
        <v>4.0390963385620537E-2</v>
      </c>
      <c r="V1192" s="24">
        <f t="shared" si="133"/>
        <v>4.2999009997302551E-2</v>
      </c>
      <c r="W1192" s="23">
        <f t="shared" si="134"/>
        <v>3.5145129058506974E-3</v>
      </c>
      <c r="X1192" s="24">
        <v>4.0136471900358295E-2</v>
      </c>
      <c r="Y1192" s="24">
        <f t="shared" si="135"/>
        <v>4.2999084446532665E-2</v>
      </c>
      <c r="Z1192" s="23">
        <f t="shared" si="136"/>
        <v>3.5145189227039353E-3</v>
      </c>
      <c r="AA1192" s="36"/>
    </row>
    <row r="1193" spans="4:27" ht="13.9" customHeight="1">
      <c r="D1193" s="8"/>
      <c r="E1193" s="9"/>
      <c r="F1193" s="19"/>
      <c r="G1193" s="19"/>
      <c r="H1193" s="19"/>
      <c r="J1193" s="45"/>
      <c r="K1193" s="45"/>
      <c r="L1193" s="45"/>
      <c r="M1193" s="43"/>
      <c r="O1193" s="12">
        <f t="shared" si="130"/>
        <v>98.333333333333329</v>
      </c>
      <c r="P1193" s="13">
        <v>1180</v>
      </c>
      <c r="Q1193" s="22">
        <v>2.75502403543888E-2</v>
      </c>
      <c r="R1193" s="19">
        <f t="shared" si="131"/>
        <v>2.8315263309274474E-2</v>
      </c>
      <c r="S1193" s="22">
        <v>3.9131055957309258E-2</v>
      </c>
      <c r="T1193" s="19">
        <f t="shared" si="132"/>
        <v>4.2999300145688757E-2</v>
      </c>
      <c r="U1193" s="24">
        <v>4.0393170831306113E-2</v>
      </c>
      <c r="V1193" s="24">
        <f t="shared" si="133"/>
        <v>4.299901988975674E-2</v>
      </c>
      <c r="W1193" s="23">
        <f t="shared" si="134"/>
        <v>3.5145137070149435E-3</v>
      </c>
      <c r="X1193" s="24">
        <v>4.0138894513847223E-2</v>
      </c>
      <c r="Y1193" s="24">
        <f t="shared" si="135"/>
        <v>4.2999093749402695E-2</v>
      </c>
      <c r="Z1193" s="23">
        <f t="shared" si="136"/>
        <v>3.5145196762504938E-3</v>
      </c>
      <c r="AA1193" s="36"/>
    </row>
    <row r="1194" spans="4:27" ht="13.9" customHeight="1">
      <c r="D1194" s="8"/>
      <c r="E1194" s="9"/>
      <c r="F1194" s="19"/>
      <c r="G1194" s="19"/>
      <c r="H1194" s="19"/>
      <c r="J1194" s="45"/>
      <c r="K1194" s="45"/>
      <c r="L1194" s="45"/>
      <c r="M1194" s="43"/>
      <c r="O1194" s="12">
        <f t="shared" si="130"/>
        <v>98.416666666666671</v>
      </c>
      <c r="P1194" s="13">
        <v>1181</v>
      </c>
      <c r="Q1194" s="22">
        <v>2.7550887889149944E-2</v>
      </c>
      <c r="R1194" s="19">
        <f t="shared" si="131"/>
        <v>2.8315468638197006E-2</v>
      </c>
      <c r="S1194" s="22">
        <v>3.9134325278362914E-2</v>
      </c>
      <c r="T1194" s="19">
        <f t="shared" si="132"/>
        <v>4.2999307645536167E-2</v>
      </c>
      <c r="U1194" s="24">
        <v>4.0395374551753571E-2</v>
      </c>
      <c r="V1194" s="24">
        <f t="shared" si="133"/>
        <v>4.2999029683044476E-2</v>
      </c>
      <c r="W1194" s="23">
        <f t="shared" si="134"/>
        <v>3.5145145001782563E-3</v>
      </c>
      <c r="X1194" s="24">
        <v>4.0141313038172255E-2</v>
      </c>
      <c r="Y1194" s="24">
        <f t="shared" si="135"/>
        <v>4.2999102957023361E-2</v>
      </c>
      <c r="Z1194" s="23">
        <f t="shared" si="136"/>
        <v>3.5145204221416204E-3</v>
      </c>
      <c r="AA1194" s="36"/>
    </row>
    <row r="1195" spans="4:27" ht="13.9" customHeight="1">
      <c r="D1195" s="8"/>
      <c r="E1195" s="9"/>
      <c r="F1195" s="19"/>
      <c r="G1195" s="19"/>
      <c r="H1195" s="19"/>
      <c r="J1195" s="45"/>
      <c r="K1195" s="45"/>
      <c r="L1195" s="45"/>
      <c r="M1195" s="43"/>
      <c r="O1195" s="12">
        <f t="shared" si="130"/>
        <v>98.5</v>
      </c>
      <c r="P1195" s="13">
        <v>1182</v>
      </c>
      <c r="Q1195" s="22">
        <v>2.7551534502242792E-2</v>
      </c>
      <c r="R1195" s="19">
        <f t="shared" si="131"/>
        <v>2.8315672262872571E-2</v>
      </c>
      <c r="S1195" s="22">
        <v>3.913758908415188E-2</v>
      </c>
      <c r="T1195" s="19">
        <f t="shared" si="132"/>
        <v>4.2999315064521371E-2</v>
      </c>
      <c r="U1195" s="24">
        <v>4.0397574556322313E-2</v>
      </c>
      <c r="V1195" s="24">
        <f t="shared" si="133"/>
        <v>4.299903937861127E-2</v>
      </c>
      <c r="W1195" s="23">
        <f t="shared" si="134"/>
        <v>3.5145152853903738E-3</v>
      </c>
      <c r="X1195" s="24">
        <v>4.0143727483617386E-2</v>
      </c>
      <c r="Y1195" s="24">
        <f t="shared" si="135"/>
        <v>4.2999112071938406E-2</v>
      </c>
      <c r="Z1195" s="23">
        <f t="shared" si="136"/>
        <v>3.5145211603957449E-3</v>
      </c>
      <c r="AA1195" s="36"/>
    </row>
    <row r="1196" spans="4:27" ht="13.9" customHeight="1">
      <c r="D1196" s="8"/>
      <c r="E1196" s="9"/>
      <c r="F1196" s="19"/>
      <c r="G1196" s="19"/>
      <c r="H1196" s="19"/>
      <c r="J1196" s="45"/>
      <c r="K1196" s="45"/>
      <c r="L1196" s="45"/>
      <c r="M1196" s="43"/>
      <c r="O1196" s="12">
        <f t="shared" si="130"/>
        <v>98.583333333333329</v>
      </c>
      <c r="P1196" s="13">
        <v>1183</v>
      </c>
      <c r="Q1196" s="22">
        <v>2.755218019456418E-2</v>
      </c>
      <c r="R1196" s="19">
        <f t="shared" si="131"/>
        <v>2.8315874196316315E-2</v>
      </c>
      <c r="S1196" s="22">
        <v>3.91408473885686E-2</v>
      </c>
      <c r="T1196" s="19">
        <f t="shared" si="132"/>
        <v>4.2999322404202678E-2</v>
      </c>
      <c r="U1196" s="24">
        <v>4.0399770854341321E-2</v>
      </c>
      <c r="V1196" s="24">
        <f t="shared" si="133"/>
        <v>4.2999048977211851E-2</v>
      </c>
      <c r="W1196" s="23">
        <f t="shared" si="134"/>
        <v>3.5145160627674255E-3</v>
      </c>
      <c r="X1196" s="24">
        <v>4.0146137860433972E-2</v>
      </c>
      <c r="Y1196" s="24">
        <f t="shared" si="135"/>
        <v>4.2999121093614479E-2</v>
      </c>
      <c r="Z1196" s="23">
        <f t="shared" si="136"/>
        <v>3.5145218912169263E-3</v>
      </c>
      <c r="AA1196" s="36"/>
    </row>
    <row r="1197" spans="4:27" ht="13.9" customHeight="1">
      <c r="D1197" s="8"/>
      <c r="E1197" s="9"/>
      <c r="F1197" s="19"/>
      <c r="G1197" s="19"/>
      <c r="H1197" s="19"/>
      <c r="J1197" s="45"/>
      <c r="K1197" s="45"/>
      <c r="L1197" s="45"/>
      <c r="M1197" s="43"/>
      <c r="O1197" s="12">
        <f t="shared" si="130"/>
        <v>98.666666666666671</v>
      </c>
      <c r="P1197" s="13">
        <v>1184</v>
      </c>
      <c r="Q1197" s="22">
        <v>2.7552824967019163E-2</v>
      </c>
      <c r="R1197" s="19">
        <f t="shared" si="131"/>
        <v>2.8316074454080464E-2</v>
      </c>
      <c r="S1197" s="22">
        <v>3.9144100205459553E-2</v>
      </c>
      <c r="T1197" s="19">
        <f t="shared" si="132"/>
        <v>4.2999329665728281E-2</v>
      </c>
      <c r="U1197" s="24">
        <v>4.0401963455108936E-2</v>
      </c>
      <c r="V1197" s="24">
        <f t="shared" si="133"/>
        <v>4.2999058480200913E-2</v>
      </c>
      <c r="W1197" s="23">
        <f t="shared" si="134"/>
        <v>3.5145168323698073E-3</v>
      </c>
      <c r="X1197" s="24">
        <v>4.0148544178838508E-2</v>
      </c>
      <c r="Y1197" s="24">
        <f t="shared" si="135"/>
        <v>4.2999130023888332E-2</v>
      </c>
      <c r="Z1197" s="23">
        <f t="shared" si="136"/>
        <v>3.5145226145623099E-3</v>
      </c>
      <c r="AA1197" s="36"/>
    </row>
    <row r="1198" spans="4:27" ht="13.9" customHeight="1">
      <c r="D1198" s="8"/>
      <c r="E1198" s="9"/>
      <c r="F1198" s="19"/>
      <c r="G1198" s="19"/>
      <c r="H1198" s="19"/>
      <c r="J1198" s="45"/>
      <c r="K1198" s="45"/>
      <c r="L1198" s="45"/>
      <c r="M1198" s="43"/>
      <c r="O1198" s="12">
        <f t="shared" si="130"/>
        <v>98.75</v>
      </c>
      <c r="P1198" s="13">
        <v>1185</v>
      </c>
      <c r="Q1198" s="22">
        <v>2.7553468820522786E-2</v>
      </c>
      <c r="R1198" s="19">
        <f t="shared" si="131"/>
        <v>2.8316273048128338E-2</v>
      </c>
      <c r="S1198" s="22">
        <v>3.9147347548625921E-2</v>
      </c>
      <c r="T1198" s="19">
        <f t="shared" si="132"/>
        <v>4.299933684888968E-2</v>
      </c>
      <c r="U1198" s="24">
        <v>4.0404152367893076E-2</v>
      </c>
      <c r="V1198" s="24">
        <f t="shared" si="133"/>
        <v>4.2999067888157994E-2</v>
      </c>
      <c r="W1198" s="23">
        <f t="shared" si="134"/>
        <v>3.5145175943063212E-3</v>
      </c>
      <c r="X1198" s="24">
        <v>4.0150946449014402E-2</v>
      </c>
      <c r="Y1198" s="24">
        <f t="shared" si="135"/>
        <v>4.2999138863585751E-2</v>
      </c>
      <c r="Z1198" s="23">
        <f t="shared" si="136"/>
        <v>3.5145233305791113E-3</v>
      </c>
      <c r="AA1198" s="36"/>
    </row>
    <row r="1199" spans="4:27" ht="13.9" customHeight="1">
      <c r="D1199" s="8"/>
      <c r="E1199" s="9"/>
      <c r="F1199" s="19"/>
      <c r="G1199" s="19"/>
      <c r="H1199" s="19"/>
      <c r="J1199" s="45"/>
      <c r="K1199" s="45"/>
      <c r="L1199" s="45"/>
      <c r="M1199" s="43"/>
      <c r="O1199" s="12">
        <f t="shared" si="130"/>
        <v>98.833333333333329</v>
      </c>
      <c r="P1199" s="13">
        <v>1186</v>
      </c>
      <c r="Q1199" s="22">
        <v>2.7554111755996979E-2</v>
      </c>
      <c r="R1199" s="19">
        <f t="shared" si="131"/>
        <v>2.8316469994484006E-2</v>
      </c>
      <c r="S1199" s="22">
        <v>3.9150589431822258E-2</v>
      </c>
      <c r="T1199" s="19">
        <f t="shared" si="132"/>
        <v>4.2999343955743452E-2</v>
      </c>
      <c r="U1199" s="24">
        <v>4.0406337601931019E-2</v>
      </c>
      <c r="V1199" s="24">
        <f t="shared" si="133"/>
        <v>4.2999077202312774E-2</v>
      </c>
      <c r="W1199" s="23">
        <f t="shared" si="134"/>
        <v>3.5145183486231524E-3</v>
      </c>
      <c r="X1199" s="24">
        <v>4.0153344681111758E-2</v>
      </c>
      <c r="Y1199" s="24">
        <f t="shared" si="135"/>
        <v>4.2999147613381972E-2</v>
      </c>
      <c r="Z1199" s="23">
        <f t="shared" si="136"/>
        <v>3.5145240393337218E-3</v>
      </c>
      <c r="AA1199" s="36"/>
    </row>
    <row r="1200" spans="4:27" ht="13.9" customHeight="1">
      <c r="D1200" s="8"/>
      <c r="E1200" s="9"/>
      <c r="F1200" s="19"/>
      <c r="G1200" s="19"/>
      <c r="H1200" s="19"/>
      <c r="J1200" s="45"/>
      <c r="K1200" s="45"/>
      <c r="L1200" s="45"/>
      <c r="M1200" s="43"/>
      <c r="O1200" s="12">
        <f t="shared" si="130"/>
        <v>98.916666666666671</v>
      </c>
      <c r="P1200" s="13">
        <v>1187</v>
      </c>
      <c r="Q1200" s="22">
        <v>2.7554753774374108E-2</v>
      </c>
      <c r="R1200" s="19">
        <f t="shared" si="131"/>
        <v>2.8316665304888078E-2</v>
      </c>
      <c r="S1200" s="22">
        <v>3.9153825868758263E-2</v>
      </c>
      <c r="T1200" s="19">
        <f t="shared" si="132"/>
        <v>4.2999350985810425E-2</v>
      </c>
      <c r="U1200" s="24">
        <v>4.0408519166430068E-2</v>
      </c>
      <c r="V1200" s="24">
        <f t="shared" si="133"/>
        <v>4.2999086422656152E-2</v>
      </c>
      <c r="W1200" s="23">
        <f t="shared" si="134"/>
        <v>3.5145190954191108E-3</v>
      </c>
      <c r="X1200" s="24">
        <v>4.0155738885246706E-2</v>
      </c>
      <c r="Y1200" s="24">
        <f t="shared" si="135"/>
        <v>4.2999156274202477E-2</v>
      </c>
      <c r="Z1200" s="23">
        <f t="shared" si="136"/>
        <v>3.5145247408800984E-3</v>
      </c>
      <c r="AA1200" s="36"/>
    </row>
    <row r="1201" spans="4:27" ht="13.9" customHeight="1">
      <c r="D1201" s="8"/>
      <c r="E1201" s="9"/>
      <c r="F1201" s="19"/>
      <c r="G1201" s="19"/>
      <c r="H1201" s="19"/>
      <c r="J1201" s="45"/>
      <c r="K1201" s="45"/>
      <c r="L1201" s="45"/>
      <c r="M1201" s="43"/>
      <c r="O1201" s="12">
        <f t="shared" si="130"/>
        <v>99</v>
      </c>
      <c r="P1201" s="13">
        <v>1188</v>
      </c>
      <c r="Q1201" s="22">
        <v>2.755539487659342E-2</v>
      </c>
      <c r="R1201" s="19">
        <f t="shared" si="131"/>
        <v>2.8316858994046346E-2</v>
      </c>
      <c r="S1201" s="22">
        <v>3.9157056873097451E-2</v>
      </c>
      <c r="T1201" s="19">
        <f t="shared" si="132"/>
        <v>4.2999357940270544E-2</v>
      </c>
      <c r="U1201" s="24">
        <v>4.0410697070566437E-2</v>
      </c>
      <c r="V1201" s="24">
        <f t="shared" si="133"/>
        <v>4.2999095551542466E-2</v>
      </c>
      <c r="W1201" s="23">
        <f t="shared" si="134"/>
        <v>3.5145198346933082E-3</v>
      </c>
      <c r="X1201" s="24">
        <v>4.0158129071502291E-2</v>
      </c>
      <c r="Y1201" s="24">
        <f t="shared" si="135"/>
        <v>4.2999164846643234E-2</v>
      </c>
      <c r="Z1201" s="23">
        <f t="shared" si="136"/>
        <v>3.5145254352926258E-3</v>
      </c>
      <c r="AA1201" s="36"/>
    </row>
    <row r="1202" spans="4:27" ht="13.9" customHeight="1">
      <c r="D1202" s="8"/>
      <c r="E1202" s="9"/>
      <c r="F1202" s="19"/>
      <c r="G1202" s="19"/>
      <c r="H1202" s="19"/>
      <c r="J1202" s="45"/>
      <c r="K1202" s="45"/>
      <c r="L1202" s="45"/>
      <c r="M1202" s="43"/>
      <c r="O1202" s="12">
        <f t="shared" si="130"/>
        <v>99.083333333333329</v>
      </c>
      <c r="P1202" s="13">
        <v>1189</v>
      </c>
      <c r="Q1202" s="22">
        <v>2.7556035063603046E-2</v>
      </c>
      <c r="R1202" s="19">
        <f t="shared" si="131"/>
        <v>2.8317051075364974E-2</v>
      </c>
      <c r="S1202" s="22">
        <v>3.9160282458458484E-2</v>
      </c>
      <c r="T1202" s="19">
        <f t="shared" si="132"/>
        <v>4.2999364820924368E-2</v>
      </c>
      <c r="U1202" s="24">
        <v>4.0412871323487476E-2</v>
      </c>
      <c r="V1202" s="24">
        <f t="shared" si="133"/>
        <v>4.2999104588975934E-2</v>
      </c>
      <c r="W1202" s="23">
        <f t="shared" si="134"/>
        <v>3.5145205666347046E-3</v>
      </c>
      <c r="X1202" s="24">
        <v>4.0160515249928475E-2</v>
      </c>
      <c r="Y1202" s="24">
        <f t="shared" si="135"/>
        <v>4.2999173332427976E-2</v>
      </c>
      <c r="Z1202" s="23">
        <f t="shared" si="136"/>
        <v>3.5145261226188218E-3</v>
      </c>
      <c r="AA1202" s="36"/>
    </row>
    <row r="1203" spans="4:27" ht="13.9" customHeight="1">
      <c r="D1203" s="8"/>
      <c r="E1203" s="9"/>
      <c r="F1203" s="19"/>
      <c r="G1203" s="19"/>
      <c r="H1203" s="19"/>
      <c r="J1203" s="45"/>
      <c r="K1203" s="45"/>
      <c r="L1203" s="45"/>
      <c r="M1203" s="43"/>
      <c r="O1203" s="12">
        <f t="shared" si="130"/>
        <v>99.166666666666671</v>
      </c>
      <c r="P1203" s="13">
        <v>1190</v>
      </c>
      <c r="Q1203" s="22">
        <v>2.7556674336359555E-2</v>
      </c>
      <c r="R1203" s="19">
        <f t="shared" si="131"/>
        <v>2.8317241561587769E-2</v>
      </c>
      <c r="S1203" s="22">
        <v>3.9163502638415393E-2</v>
      </c>
      <c r="T1203" s="19">
        <f t="shared" si="132"/>
        <v>4.2999371627613359E-2</v>
      </c>
      <c r="U1203" s="24">
        <v>4.0415041934309892E-2</v>
      </c>
      <c r="V1203" s="24">
        <f t="shared" si="133"/>
        <v>4.2999113535809652E-2</v>
      </c>
      <c r="W1203" s="23">
        <f t="shared" si="134"/>
        <v>3.514521291243522E-3</v>
      </c>
      <c r="X1203" s="24">
        <v>4.0162897430542355E-2</v>
      </c>
      <c r="Y1203" s="24">
        <f t="shared" si="135"/>
        <v>4.2999181732190861E-2</v>
      </c>
      <c r="Z1203" s="23">
        <f t="shared" si="136"/>
        <v>3.5145268029972421E-3</v>
      </c>
      <c r="AA1203" s="36"/>
    </row>
    <row r="1204" spans="4:27" ht="13.9" customHeight="1">
      <c r="D1204" s="8"/>
      <c r="E1204" s="9"/>
      <c r="F1204" s="19"/>
      <c r="G1204" s="19"/>
      <c r="H1204" s="19"/>
      <c r="J1204" s="45"/>
      <c r="K1204" s="45"/>
      <c r="L1204" s="45"/>
      <c r="M1204" s="43"/>
      <c r="O1204" s="12">
        <f t="shared" si="130"/>
        <v>99.25</v>
      </c>
      <c r="P1204" s="13">
        <v>1191</v>
      </c>
      <c r="Q1204" s="22">
        <v>2.7557312695826841E-2</v>
      </c>
      <c r="R1204" s="19">
        <f t="shared" si="131"/>
        <v>2.8317430466930027E-2</v>
      </c>
      <c r="S1204" s="22">
        <v>3.9166717426497133E-2</v>
      </c>
      <c r="T1204" s="19">
        <f t="shared" si="132"/>
        <v>4.2999378361169294E-2</v>
      </c>
      <c r="U1204" s="24">
        <v>4.0417208912120639E-2</v>
      </c>
      <c r="V1204" s="24">
        <f t="shared" si="133"/>
        <v>4.2999122393650557E-2</v>
      </c>
      <c r="W1204" s="23">
        <f t="shared" si="134"/>
        <v>3.5145220085881501E-3</v>
      </c>
      <c r="X1204" s="24">
        <v>4.0165275623328389E-2</v>
      </c>
      <c r="Y1204" s="24">
        <f t="shared" si="135"/>
        <v>4.2999190046101754E-2</v>
      </c>
      <c r="Z1204" s="23">
        <f t="shared" si="136"/>
        <v>3.5145274764782908E-3</v>
      </c>
      <c r="AA1204" s="36"/>
    </row>
    <row r="1205" spans="4:27" ht="13.9" customHeight="1">
      <c r="D1205" s="8"/>
      <c r="E1205" s="9"/>
      <c r="F1205" s="19"/>
      <c r="G1205" s="19"/>
      <c r="H1205" s="19"/>
      <c r="J1205" s="45"/>
      <c r="K1205" s="45"/>
      <c r="L1205" s="45"/>
      <c r="M1205" s="43"/>
      <c r="O1205" s="12">
        <f t="shared" si="130"/>
        <v>99.333333333333329</v>
      </c>
      <c r="P1205" s="13">
        <v>1192</v>
      </c>
      <c r="Q1205" s="22">
        <v>2.7557950142977239E-2</v>
      </c>
      <c r="R1205" s="19">
        <f t="shared" si="131"/>
        <v>2.8317617803220063E-2</v>
      </c>
      <c r="S1205" s="22">
        <v>3.9169926836187807E-2</v>
      </c>
      <c r="T1205" s="19">
        <f t="shared" si="132"/>
        <v>4.2999385022698178E-2</v>
      </c>
      <c r="U1205" s="24">
        <v>4.0419372265977138E-2</v>
      </c>
      <c r="V1205" s="24">
        <f t="shared" si="133"/>
        <v>4.2999131163017346E-2</v>
      </c>
      <c r="W1205" s="23">
        <f t="shared" si="134"/>
        <v>3.5145227187973749E-3</v>
      </c>
      <c r="X1205" s="24">
        <v>4.0167649838237729E-2</v>
      </c>
      <c r="Y1205" s="24">
        <f t="shared" si="135"/>
        <v>4.299919827603671E-2</v>
      </c>
      <c r="Z1205" s="23">
        <f t="shared" si="136"/>
        <v>3.5145281430761788E-3</v>
      </c>
      <c r="AA1205" s="36"/>
    </row>
    <row r="1206" spans="4:27" ht="13.9" customHeight="1">
      <c r="D1206" s="8"/>
      <c r="E1206" s="9"/>
      <c r="F1206" s="19"/>
      <c r="G1206" s="19"/>
      <c r="H1206" s="19"/>
      <c r="J1206" s="45"/>
      <c r="K1206" s="45"/>
      <c r="L1206" s="45"/>
      <c r="M1206" s="43"/>
      <c r="O1206" s="12">
        <f t="shared" si="130"/>
        <v>99.416666666666671</v>
      </c>
      <c r="P1206" s="13">
        <v>1193</v>
      </c>
      <c r="Q1206" s="22">
        <v>2.7558586678790187E-2</v>
      </c>
      <c r="R1206" s="19">
        <f t="shared" si="131"/>
        <v>2.8317803584879453E-2</v>
      </c>
      <c r="S1206" s="22">
        <v>3.9173130880927109E-2</v>
      </c>
      <c r="T1206" s="19">
        <f t="shared" si="132"/>
        <v>4.299939161311972E-2</v>
      </c>
      <c r="U1206" s="24">
        <v>4.0421532004907501E-2</v>
      </c>
      <c r="V1206" s="24">
        <f t="shared" si="133"/>
        <v>4.2999139844605239E-2</v>
      </c>
      <c r="W1206" s="23">
        <f t="shared" si="134"/>
        <v>3.5145234219129406E-3</v>
      </c>
      <c r="X1206" s="24">
        <v>4.0170020085189551E-2</v>
      </c>
      <c r="Y1206" s="24">
        <f t="shared" si="135"/>
        <v>4.2999206421741931E-2</v>
      </c>
      <c r="Z1206" s="23">
        <f t="shared" si="136"/>
        <v>3.5145288029407862E-3</v>
      </c>
      <c r="AA1206" s="36"/>
    </row>
    <row r="1207" spans="4:27" ht="13.9" customHeight="1">
      <c r="D1207" s="8"/>
      <c r="E1207" s="9"/>
      <c r="F1207" s="19"/>
      <c r="G1207" s="19"/>
      <c r="H1207" s="19"/>
      <c r="J1207" s="45"/>
      <c r="K1207" s="45"/>
      <c r="L1207" s="45"/>
      <c r="M1207" s="43"/>
      <c r="O1207" s="12">
        <f t="shared" si="130"/>
        <v>99.5</v>
      </c>
      <c r="P1207" s="13">
        <v>1194</v>
      </c>
      <c r="Q1207" s="22">
        <v>2.7559222304253561E-2</v>
      </c>
      <c r="R1207" s="19">
        <f t="shared" si="131"/>
        <v>2.8317987823978985E-2</v>
      </c>
      <c r="S1207" s="22">
        <v>3.9176329574110769E-2</v>
      </c>
      <c r="T1207" s="19">
        <f t="shared" si="132"/>
        <v>4.2999398132588684E-2</v>
      </c>
      <c r="U1207" s="24">
        <v>4.0423688137909641E-2</v>
      </c>
      <c r="V1207" s="24">
        <f t="shared" si="133"/>
        <v>4.2999148439255119E-2</v>
      </c>
      <c r="W1207" s="23">
        <f t="shared" si="134"/>
        <v>3.5145241179905806E-3</v>
      </c>
      <c r="X1207" s="24">
        <v>4.0172386374069724E-2</v>
      </c>
      <c r="Y1207" s="24">
        <f t="shared" si="135"/>
        <v>4.299921448527555E-2</v>
      </c>
      <c r="Z1207" s="23">
        <f t="shared" si="136"/>
        <v>3.5145294560519069E-3</v>
      </c>
      <c r="AA1207" s="36"/>
    </row>
    <row r="1208" spans="4:27" ht="13.9" customHeight="1">
      <c r="D1208" s="8"/>
      <c r="E1208" s="9"/>
      <c r="F1208" s="19"/>
      <c r="G1208" s="19"/>
      <c r="H1208" s="19"/>
      <c r="J1208" s="45"/>
      <c r="K1208" s="45"/>
      <c r="L1208" s="45"/>
      <c r="M1208" s="43"/>
      <c r="O1208" s="12">
        <f t="shared" si="130"/>
        <v>99.583333333333329</v>
      </c>
      <c r="P1208" s="13">
        <v>1195</v>
      </c>
      <c r="Q1208" s="22">
        <v>2.7559857020362122E-2</v>
      </c>
      <c r="R1208" s="19">
        <f t="shared" si="131"/>
        <v>2.8318170533118803E-2</v>
      </c>
      <c r="S1208" s="22">
        <v>3.9179522929089883E-2</v>
      </c>
      <c r="T1208" s="19">
        <f t="shared" si="132"/>
        <v>4.299940458222351E-2</v>
      </c>
      <c r="U1208" s="24">
        <v>4.0425840673952607E-2</v>
      </c>
      <c r="V1208" s="24">
        <f t="shared" si="133"/>
        <v>4.2999156948426487E-2</v>
      </c>
      <c r="W1208" s="23">
        <f t="shared" si="134"/>
        <v>3.5145248070975743E-3</v>
      </c>
      <c r="X1208" s="24">
        <v>4.0174748714732811E-2</v>
      </c>
      <c r="Y1208" s="24">
        <f t="shared" si="135"/>
        <v>4.2999222466426845E-2</v>
      </c>
      <c r="Z1208" s="23">
        <f t="shared" si="136"/>
        <v>3.5145301025747422E-3</v>
      </c>
      <c r="AA1208" s="36"/>
    </row>
    <row r="1209" spans="4:27" ht="13.9" customHeight="1">
      <c r="D1209" s="8"/>
      <c r="E1209" s="9"/>
      <c r="F1209" s="19"/>
      <c r="G1209" s="19"/>
      <c r="H1209" s="19"/>
      <c r="J1209" s="45"/>
      <c r="K1209" s="45"/>
      <c r="L1209" s="45"/>
      <c r="M1209" s="43"/>
      <c r="O1209" s="12">
        <f t="shared" si="130"/>
        <v>99.666666666666671</v>
      </c>
      <c r="P1209" s="13">
        <v>1196</v>
      </c>
      <c r="Q1209" s="22">
        <v>2.7560490828117956E-2</v>
      </c>
      <c r="R1209" s="19">
        <f t="shared" si="131"/>
        <v>2.8318351725935109E-2</v>
      </c>
      <c r="S1209" s="22">
        <v>3.9182710959172029E-2</v>
      </c>
      <c r="T1209" s="19">
        <f t="shared" si="132"/>
        <v>4.2999410962679008E-2</v>
      </c>
      <c r="U1209" s="24">
        <v>4.0427989621976357E-2</v>
      </c>
      <c r="V1209" s="24">
        <f t="shared" si="133"/>
        <v>4.2999165372422876E-2</v>
      </c>
      <c r="W1209" s="23">
        <f t="shared" si="134"/>
        <v>3.5145254893509392E-3</v>
      </c>
      <c r="X1209" s="24">
        <v>4.0177107117000288E-2</v>
      </c>
      <c r="Y1209" s="24">
        <f t="shared" si="135"/>
        <v>4.2999230366749464E-2</v>
      </c>
      <c r="Z1209" s="23">
        <f t="shared" si="136"/>
        <v>3.5145307424921945E-3</v>
      </c>
      <c r="AA1209" s="36"/>
    </row>
    <row r="1210" spans="4:27" ht="13.9" customHeight="1">
      <c r="D1210" s="8"/>
      <c r="E1210" s="9"/>
      <c r="F1210" s="19"/>
      <c r="G1210" s="19"/>
      <c r="H1210" s="19"/>
      <c r="J1210" s="45"/>
      <c r="K1210" s="45"/>
      <c r="L1210" s="45"/>
      <c r="M1210" s="43"/>
      <c r="O1210" s="12">
        <f t="shared" si="130"/>
        <v>99.75</v>
      </c>
      <c r="P1210" s="13">
        <v>1197</v>
      </c>
      <c r="Q1210" s="22">
        <v>2.7561123728530923E-2</v>
      </c>
      <c r="R1210" s="19">
        <f t="shared" si="131"/>
        <v>2.8318531414184944E-2</v>
      </c>
      <c r="S1210" s="22">
        <v>3.9185893677620598E-2</v>
      </c>
      <c r="T1210" s="19">
        <f t="shared" si="132"/>
        <v>4.2999417274502738E-2</v>
      </c>
      <c r="U1210" s="24">
        <v>4.043013499089132E-2</v>
      </c>
      <c r="V1210" s="24">
        <f t="shared" si="133"/>
        <v>4.2999173712205518E-2</v>
      </c>
      <c r="W1210" s="23">
        <f t="shared" si="134"/>
        <v>3.5145261647751003E-3</v>
      </c>
      <c r="X1210" s="24">
        <v>4.0179461590662102E-2</v>
      </c>
      <c r="Y1210" s="24">
        <f t="shared" si="135"/>
        <v>4.2999238186711475E-2</v>
      </c>
      <c r="Z1210" s="23">
        <f t="shared" si="136"/>
        <v>3.5145313759290531E-3</v>
      </c>
      <c r="AA1210" s="36"/>
    </row>
    <row r="1211" spans="4:27" ht="13.9" customHeight="1">
      <c r="D1211" s="8"/>
      <c r="E1211" s="9"/>
      <c r="F1211" s="19"/>
      <c r="G1211" s="19"/>
      <c r="H1211" s="19"/>
      <c r="J1211" s="45"/>
      <c r="K1211" s="45"/>
      <c r="L1211" s="45"/>
      <c r="M1211" s="43"/>
      <c r="O1211" s="12">
        <f t="shared" si="130"/>
        <v>99.833333333333329</v>
      </c>
      <c r="P1211" s="13">
        <v>1198</v>
      </c>
      <c r="Q1211" s="22">
        <v>2.7561755722617542E-2</v>
      </c>
      <c r="R1211" s="19">
        <f t="shared" si="131"/>
        <v>2.8318709610522186E-2</v>
      </c>
      <c r="S1211" s="22">
        <v>3.9189071097655681E-2</v>
      </c>
      <c r="T1211" s="19">
        <f t="shared" si="132"/>
        <v>4.2999423519257007E-2</v>
      </c>
      <c r="U1211" s="24">
        <v>4.0432276789579058E-2</v>
      </c>
      <c r="V1211" s="24">
        <f t="shared" si="133"/>
        <v>4.2999181968375488E-2</v>
      </c>
      <c r="W1211" s="23">
        <f t="shared" si="134"/>
        <v>3.5145268334471069E-3</v>
      </c>
      <c r="X1211" s="24">
        <v>4.0181812145476004E-2</v>
      </c>
      <c r="Y1211" s="24">
        <f t="shared" si="135"/>
        <v>4.2999245927049401E-2</v>
      </c>
      <c r="Z1211" s="23">
        <f t="shared" si="136"/>
        <v>3.5145320029223992E-3</v>
      </c>
      <c r="AA1211" s="36"/>
    </row>
    <row r="1212" spans="4:27" ht="13.9" customHeight="1">
      <c r="D1212" s="8"/>
      <c r="E1212" s="9"/>
      <c r="F1212" s="19"/>
      <c r="G1212" s="19"/>
      <c r="H1212" s="19"/>
      <c r="J1212" s="45"/>
      <c r="K1212" s="45"/>
      <c r="L1212" s="45"/>
      <c r="M1212" s="43"/>
      <c r="O1212" s="12">
        <f t="shared" si="130"/>
        <v>99.916666666666671</v>
      </c>
      <c r="P1212" s="13">
        <v>1199</v>
      </c>
      <c r="Q1212" s="22">
        <v>2.756238681140144E-2</v>
      </c>
      <c r="R1212" s="19">
        <f t="shared" si="131"/>
        <v>2.8318886327967308E-2</v>
      </c>
      <c r="S1212" s="22">
        <v>3.9192243232454071E-2</v>
      </c>
      <c r="T1212" s="19">
        <f t="shared" si="132"/>
        <v>4.2999429697260894E-2</v>
      </c>
      <c r="U1212" s="24">
        <v>4.0434415026892045E-2</v>
      </c>
      <c r="V1212" s="24">
        <f t="shared" si="133"/>
        <v>4.2999190142243737E-2</v>
      </c>
      <c r="W1212" s="23">
        <f t="shared" si="134"/>
        <v>3.5145274954153649E-3</v>
      </c>
      <c r="X1212" s="24">
        <v>4.0184158791167768E-2</v>
      </c>
      <c r="Y1212" s="24">
        <f t="shared" si="135"/>
        <v>4.2999253589136366E-2</v>
      </c>
      <c r="Z1212" s="23">
        <f t="shared" si="136"/>
        <v>3.5145326235319629E-3</v>
      </c>
      <c r="AA1212" s="36"/>
    </row>
    <row r="1213" spans="4:27" ht="13.9" customHeight="1">
      <c r="D1213" s="8"/>
      <c r="E1213" s="9"/>
      <c r="F1213" s="19"/>
      <c r="G1213" s="19"/>
      <c r="H1213" s="19"/>
      <c r="J1213" s="45"/>
      <c r="K1213" s="45"/>
      <c r="L1213" s="45"/>
      <c r="M1213" s="43"/>
      <c r="O1213" s="12">
        <f t="shared" si="130"/>
        <v>100</v>
      </c>
      <c r="P1213" s="13">
        <v>1200</v>
      </c>
      <c r="Q1213" s="22">
        <v>2.756301699591357E-2</v>
      </c>
      <c r="R1213" s="19">
        <f t="shared" si="131"/>
        <v>2.8319061578245153E-2</v>
      </c>
      <c r="S1213" s="22">
        <v>3.9195410095149485E-2</v>
      </c>
      <c r="T1213" s="19">
        <f t="shared" si="132"/>
        <v>4.2999435808375619E-2</v>
      </c>
      <c r="U1213" s="24">
        <v>4.0436549711654557E-2</v>
      </c>
      <c r="V1213" s="24">
        <f t="shared" si="133"/>
        <v>4.299919823468823E-2</v>
      </c>
      <c r="W1213" s="23">
        <f t="shared" si="134"/>
        <v>3.5145281507846793E-3</v>
      </c>
      <c r="X1213" s="24">
        <v>4.0186501537432084E-2</v>
      </c>
      <c r="Y1213" s="24">
        <f t="shared" si="135"/>
        <v>4.2999261173307879E-2</v>
      </c>
      <c r="Z1213" s="23">
        <f t="shared" si="136"/>
        <v>3.5145332378672123E-3</v>
      </c>
      <c r="AA1213" s="36"/>
    </row>
    <row r="1214" spans="4:27" ht="13.9" customHeight="1">
      <c r="D1214" s="10"/>
      <c r="E1214" s="11"/>
      <c r="F1214" s="20"/>
      <c r="G1214" s="20"/>
      <c r="H1214" s="20"/>
      <c r="J1214" s="46"/>
      <c r="K1214" s="46"/>
      <c r="L1214" s="46"/>
      <c r="M1214" s="44"/>
      <c r="O1214" s="12">
        <f t="shared" si="130"/>
        <v>100.08333333333333</v>
      </c>
      <c r="P1214" s="13">
        <v>1201</v>
      </c>
      <c r="Q1214" s="27">
        <v>2.7563646277191323E-2</v>
      </c>
      <c r="R1214" s="20"/>
      <c r="S1214" s="27">
        <v>3.9198571698831675E-2</v>
      </c>
      <c r="T1214" s="20"/>
      <c r="U1214" s="28">
        <v>4.0438680852661779E-2</v>
      </c>
      <c r="V1214" s="28"/>
      <c r="W1214" s="29"/>
      <c r="X1214" s="28">
        <v>4.0188840393931446E-2</v>
      </c>
      <c r="Y1214" s="28"/>
      <c r="Z1214" s="29"/>
      <c r="AA1214" s="36"/>
    </row>
  </sheetData>
  <mergeCells count="50">
    <mergeCell ref="X8:Z8"/>
    <mergeCell ref="X9:Z9"/>
    <mergeCell ref="X10:Z10"/>
    <mergeCell ref="Y11:Z11"/>
    <mergeCell ref="X3:Z3"/>
    <mergeCell ref="X4:Z4"/>
    <mergeCell ref="X5:Z5"/>
    <mergeCell ref="X6:Z6"/>
    <mergeCell ref="X7:Z7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S7:T7"/>
    <mergeCell ref="O8:P8"/>
    <mergeCell ref="O9:P9"/>
    <mergeCell ref="O11:P11"/>
    <mergeCell ref="O10:P10"/>
    <mergeCell ref="V11:W11"/>
    <mergeCell ref="U6:W6"/>
    <mergeCell ref="U7:W7"/>
    <mergeCell ref="U8:W8"/>
    <mergeCell ref="U9:W9"/>
    <mergeCell ref="U10:W10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J1:M1"/>
    <mergeCell ref="O1:Z1"/>
    <mergeCell ref="O3:P3"/>
    <mergeCell ref="O4:P4"/>
    <mergeCell ref="O5:P5"/>
  </mergeCells>
  <phoneticPr fontId="2" type="noConversion"/>
  <pageMargins left="0.25" right="0.25" top="0.75" bottom="0.75" header="0.3" footer="0.3"/>
  <pageSetup paperSize="9" scale="5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FSS_NT551XED</cp:lastModifiedBy>
  <cp:lastPrinted>2022-04-01T07:30:59Z</cp:lastPrinted>
  <dcterms:created xsi:type="dcterms:W3CDTF">2021-08-24T04:22:45Z</dcterms:created>
  <dcterms:modified xsi:type="dcterms:W3CDTF">2025-11-05T08:06:47Z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Jub2RlMSI6eyJkc2QiOiIwMTAwMDAwMDAwMDAxNzM5IiwibG9nVGltZSI6IjIwMjUtMTAtMDJUMDg6MTA6MDJaIiwicElEIjoxLCJ0cmFjZUlkIjoiNjQ1NTFGOUEzOEZGNENDNjhEMEVCMzdGMEU0N0Y4RTciLCJ1c2VyQ29kZSI6IjIyNDAxOTMifSwibm9kZTIiOnsiZHNkIjoiMDEwMDAwMDAwMDAwMTczOSIsImxvZ1RpbWUiOiIyMDI1LTEwLTAyVDA4OjEwOjAyWiIsInBJRCI6MSwidHJhY2VJZCI6IjY0NTUxRjlBMzhGRjRDQzY4RDBFQjM3RjBFNDdGOEU3IiwidXNlckNvZGUiOiIyMjQwMTkzIn0sIm5vZGUzIjp7ImRzZCI6IjAxMDAwMDAwMDAwMDE3MzkiLCJsb2dUaW1lIjoiMjAyNS0xMS0wM1QwNzo0MTo0OVoiLCJwSUQiOjEsInRyYWNlSWQiOiIyNjdENDQwNjNFOTk0QTU5QjkzRjZEM0Y5Mjc1MTE4MCIsInVzZXJDb2RlIjoiMjI0MDE5MyJ9LCJub2RlNCI6eyJkc2QiOiIwMTAwMDAwMDAwMDAxNzM5IiwibG9nVGltZSI6IjIwMjUtMTEtMDVUMDg6MDc6MDJaIiwicElEIjoxLCJ0cmFjZUlkIjoiNUQwMjVFMjU5NURBNDlEMzkzQjE2NEU4QjMwRjBGNUQiLCJ1c2VyQ29kZSI6IjIyNDAxOTMifSwibm9kZTUiOnsiZHNkIjoiMDAwMDAwMDAwMDAwMDAwMCIsImxvZ1RpbWUiOiIyMDI1LTExLTA1VDA4OjEwOjE5WiIsInBJRCI6MjA0OCwidHJhY2VJZCI6IjQ2ODRBMTZDQ0JFRTQ4MjI5RkIxMjIzNDdFQTcxMTlBIiwidXNlckNvZGUiOiIyMjQwMTkzIn0sIm5vZGVDb3VudCI6NH0=</vt:lpwstr>
  </property>
</Properties>
</file>